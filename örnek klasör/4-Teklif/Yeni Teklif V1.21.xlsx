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C:\Users\onurm\Desktop\örnek klasör\4-Teklif\"/>
    </mc:Choice>
  </mc:AlternateContent>
  <xr:revisionPtr revIDLastSave="0" documentId="13_ncr:1_{22AA1559-9BF8-4589-BBC6-907627E7D8F5}" xr6:coauthVersionLast="47" xr6:coauthVersionMax="47" xr10:uidLastSave="{00000000-0000-0000-0000-000000000000}"/>
  <bookViews>
    <workbookView xWindow="-22620" yWindow="1470" windowWidth="21600" windowHeight="11295" tabRatio="531" activeTab="1" xr2:uid="{00000000-000D-0000-FFFF-FFFF00000000}"/>
  </bookViews>
  <sheets>
    <sheet name="Notlar" sheetId="7" r:id="rId1"/>
    <sheet name="Sayfa3" sheetId="6" r:id="rId2"/>
    <sheet name="Sayfa1" sheetId="1" r:id="rId3"/>
    <sheet name="BARA HESABI" sheetId="8" r:id="rId4"/>
  </sheets>
  <definedNames>
    <definedName name="_xlnm._FilterDatabase" localSheetId="2" hidden="1">Sayfa1!$A$1:$X$1</definedName>
    <definedName name="ABB.1" localSheetId="3">#REF!</definedName>
    <definedName name="ABB.1">#REF!</definedName>
    <definedName name="ABB.2" localSheetId="3">#REF!</definedName>
    <definedName name="ABB.2">#REF!</definedName>
    <definedName name="ABB.3" localSheetId="3">#REF!</definedName>
    <definedName name="ABB.3">#REF!</definedName>
    <definedName name="ABB.4">#REF!</definedName>
    <definedName name="ABB.5">#REF!</definedName>
    <definedName name="ABB.6">#REF!</definedName>
    <definedName name="Ads" localSheetId="3">#REF!</definedName>
    <definedName name="Ads">Sayfa3!$C$17</definedName>
    <definedName name="BB" localSheetId="3">#REF!</definedName>
    <definedName name="BB">#REF!</definedName>
    <definedName name="Catv" comment="6">"Amb.Çarpanlar"</definedName>
    <definedName name="Chtv" comment="A-B-C-D-E-F-G-H-I-J-K-L-M-N-O-P-Q-R-S-T-U-V-W-X-Y-Z">"Montaj Harfler"</definedName>
    <definedName name="CkarO">"Net Fiyatı"</definedName>
    <definedName name="Cmtv" comment="0-40-50-75-100-125-75-100-40-50-75-100-125-100-125-75-100-100-125-150-175-225-300-75-100-125">"Montaj Çarpanlar"</definedName>
    <definedName name="Cstv" comment="0-25-25-50-75-100-75-100-25-25-50-75-100-75-100-50-75-75-100-125-75-100-125-75-75-75">"Sarf Çarpanlar"</definedName>
    <definedName name="Dcki" localSheetId="3">('BARA HESABI'!DkarO+100)*(100-'BARA HESABI'!DiskO)/10000</definedName>
    <definedName name="Dcki">(DkarO+100)*(100-DiskO)/10000</definedName>
    <definedName name="DİKİLİ">#REF!</definedName>
    <definedName name="DiskO" localSheetId="3">#REF!</definedName>
    <definedName name="DiskO">Sayfa3!$I$29</definedName>
    <definedName name="DkarO" localSheetId="3">#REF!</definedName>
    <definedName name="DkarO">Sayfa3!$I$25</definedName>
    <definedName name="DOLAR" localSheetId="3">#REF!</definedName>
    <definedName name="DOLAR">#REF!</definedName>
    <definedName name="DPLVP" localSheetId="3">#REF!</definedName>
    <definedName name="DPLVP">#REF!</definedName>
    <definedName name="DUVAR">#REF!</definedName>
    <definedName name="EACVS">#REF!</definedName>
    <definedName name="EASY9">#REF!</definedName>
    <definedName name="EASYTVS">#REF!</definedName>
    <definedName name="ENT.1" localSheetId="3">#REF!</definedName>
    <definedName name="ENT.1">#REF!</definedName>
    <definedName name="ENT.2" localSheetId="3">#REF!</definedName>
    <definedName name="ENT.2">#REF!</definedName>
    <definedName name="ENT.3" localSheetId="3">#REF!</definedName>
    <definedName name="ENT.3">#REF!</definedName>
    <definedName name="EU" localSheetId="3">#REF!</definedName>
    <definedName name="EU">#REF!</definedName>
    <definedName name="Eur" localSheetId="3">#REF!</definedName>
    <definedName name="Eur">Sayfa3!$D$17</definedName>
    <definedName name="Faiz">Sayfa3!$C$21</definedName>
    <definedName name="FORM260">#REF!</definedName>
    <definedName name="FORM270">#REF!</definedName>
    <definedName name="FORM280">#REF!</definedName>
    <definedName name="FORM360">#REF!</definedName>
    <definedName name="FORM370">#REF!</definedName>
    <definedName name="FORM380">#REF!</definedName>
    <definedName name="FORM460">#REF!</definedName>
    <definedName name="FORM470">#REF!</definedName>
    <definedName name="FORM480">#REF!</definedName>
    <definedName name="GRP" localSheetId="3">#REF!</definedName>
    <definedName name="GRP">#REF!</definedName>
    <definedName name="HDLSD">#REF!</definedName>
    <definedName name="HDPNL" localSheetId="3">#REF!</definedName>
    <definedName name="HDPNL">#REF!</definedName>
    <definedName name="IDSIG">#REF!</definedName>
    <definedName name="IDVSD">#REF!</definedName>
    <definedName name="İŞÇİLİK">#REF!</definedName>
    <definedName name="KAL" localSheetId="3">#REF!</definedName>
    <definedName name="KAL">#REF!</definedName>
    <definedName name="KRN" localSheetId="3">#REF!</definedName>
    <definedName name="KRN">#REF!</definedName>
    <definedName name="liste_fiyatları">#REF!</definedName>
    <definedName name="MVS">#REF!</definedName>
    <definedName name="Oamb">Sayfa3!$L$9</definedName>
    <definedName name="Obara" localSheetId="3">#REF!</definedName>
    <definedName name="Obara">Sayfa3!$L$7</definedName>
    <definedName name="Oggid" localSheetId="3">#REF!</definedName>
    <definedName name="Oggid">Sayfa3!$I$22</definedName>
    <definedName name="Oisci" localSheetId="3">#REF!</definedName>
    <definedName name="Oisci">Sayfa3!$L$8</definedName>
    <definedName name="Onak">Sayfa3!$L$10</definedName>
    <definedName name="Opano" localSheetId="3">#REF!</definedName>
    <definedName name="Opano">Sayfa3!$L$3</definedName>
    <definedName name="Opsac">Sayfa3!$L$4</definedName>
    <definedName name="Osalt" localSheetId="3">#REF!</definedName>
    <definedName name="Osalt">Sayfa3!$L$5</definedName>
    <definedName name="Osarf" localSheetId="3">#REF!</definedName>
    <definedName name="Osarf">Sayfa3!$L$6</definedName>
    <definedName name="PC" localSheetId="3">#REF!</definedName>
    <definedName name="PC">#REF!</definedName>
    <definedName name="PPACB">#REF!</definedName>
    <definedName name="PPCCB">#REF!</definedName>
    <definedName name="PPCTR">#REF!</definedName>
    <definedName name="PPUES">#REF!</definedName>
    <definedName name="PRISMA">#REF!</definedName>
    <definedName name="Print_Area" localSheetId="3">'BARA HESABI'!$A$1:$X$36</definedName>
    <definedName name="PRT" localSheetId="3">#REF!</definedName>
    <definedName name="PRT">#REF!</definedName>
    <definedName name="SAC" localSheetId="3">#REF!</definedName>
    <definedName name="SAC">#REF!</definedName>
    <definedName name="SALT" localSheetId="3">#REF!</definedName>
    <definedName name="SALT">#REF!</definedName>
    <definedName name="SARF">#REF!</definedName>
    <definedName name="SCC" localSheetId="3">#REF!</definedName>
    <definedName name="SCC">#REF!</definedName>
    <definedName name="SIE.1" localSheetId="3">#REF!</definedName>
    <definedName name="SIE.1">#REF!</definedName>
    <definedName name="SIE.3">#REF!</definedName>
    <definedName name="SIVA">#REF!</definedName>
    <definedName name="SZN" localSheetId="3">#REF!</definedName>
    <definedName name="SZN">#REF!</definedName>
    <definedName name="TNS" localSheetId="3">#REF!</definedName>
    <definedName name="Tpb" localSheetId="3">#REF!</definedName>
    <definedName name="Tpb">Sayfa3!$F$16</definedName>
    <definedName name="Tpbr" localSheetId="3">#REF!</definedName>
    <definedName name="Tpbr">Sayfa3!$B$16</definedName>
    <definedName name="Usd" localSheetId="3">#REF!</definedName>
    <definedName name="Usd">Sayfa3!$D$16</definedName>
    <definedName name="WG" localSheetId="3">#REF!</definedName>
    <definedName name="WG">#REF!</definedName>
    <definedName name="_xlnm.Print_Area" localSheetId="2">Sayfa1!$B$1:$E$2</definedName>
    <definedName name="_xlnm.Print_Area" localSheetId="1">Sayfa3!$B$1:$M$31</definedName>
    <definedName name="_xlnm.Print_Titles" localSheetId="2">Sayfa1!$B:$E,Sayfa1!$1:$1</definedName>
    <definedName name="YVZ22">#REF!</definedName>
    <definedName name="YVZ26">#REF!</definedName>
    <definedName name="YVZ30">#REF!</definedName>
    <definedName name="YVZ40">#REF!</definedName>
    <definedName name="YVZ60">#REF!</definedName>
    <definedName name="YVZ80">#REF!</definedName>
  </definedNames>
  <calcPr calcId="191029"/>
</workbook>
</file>

<file path=xl/calcChain.xml><?xml version="1.0" encoding="utf-8"?>
<calcChain xmlns="http://schemas.openxmlformats.org/spreadsheetml/2006/main">
  <c r="J34" i="8" l="1"/>
  <c r="K34" i="8" s="1"/>
  <c r="J33" i="8"/>
  <c r="K33" i="8" s="1"/>
  <c r="K32" i="8"/>
  <c r="J32" i="8"/>
  <c r="K31" i="8"/>
  <c r="J31" i="8"/>
  <c r="J30" i="8"/>
  <c r="K30" i="8" s="1"/>
  <c r="J29" i="8"/>
  <c r="K29" i="8" s="1"/>
  <c r="K28" i="8"/>
  <c r="J28" i="8"/>
  <c r="K27" i="8"/>
  <c r="J27" i="8"/>
  <c r="J26" i="8"/>
  <c r="K26" i="8" s="1"/>
  <c r="J25" i="8"/>
  <c r="K25" i="8" s="1"/>
  <c r="K24" i="8"/>
  <c r="J24" i="8"/>
  <c r="J23" i="8"/>
  <c r="K23" i="8" s="1"/>
  <c r="J22" i="8"/>
  <c r="K22" i="8" s="1"/>
  <c r="S18" i="8"/>
  <c r="R18" i="8"/>
  <c r="W18" i="8" s="1"/>
  <c r="S17" i="8"/>
  <c r="R17" i="8"/>
  <c r="W17" i="8" s="1"/>
  <c r="S16" i="8"/>
  <c r="R16" i="8"/>
  <c r="W16" i="8" s="1"/>
  <c r="S15" i="8"/>
  <c r="R15" i="8"/>
  <c r="W15" i="8" s="1"/>
  <c r="S14" i="8"/>
  <c r="W14" i="8" s="1"/>
  <c r="R14" i="8"/>
  <c r="S13" i="8"/>
  <c r="R13" i="8"/>
  <c r="W13" i="8" s="1"/>
  <c r="W12" i="8"/>
  <c r="S12" i="8"/>
  <c r="R12" i="8"/>
  <c r="S11" i="8"/>
  <c r="R11" i="8"/>
  <c r="W11" i="8" s="1"/>
  <c r="S10" i="8"/>
  <c r="R10" i="8"/>
  <c r="W10" i="8" s="1"/>
  <c r="S9" i="8"/>
  <c r="R9" i="8"/>
  <c r="W9" i="8" s="1"/>
  <c r="S8" i="8"/>
  <c r="R8" i="8"/>
  <c r="W8" i="8" s="1"/>
  <c r="S7" i="8"/>
  <c r="R7" i="8"/>
  <c r="W7" i="8" s="1"/>
  <c r="S6" i="8"/>
  <c r="R6" i="8"/>
  <c r="E16" i="6"/>
  <c r="M29" i="6"/>
  <c r="J30" i="6"/>
  <c r="J29" i="6"/>
  <c r="W6" i="8" l="1"/>
  <c r="V19" i="8"/>
  <c r="J35" i="8"/>
  <c r="L31" i="6"/>
  <c r="B26" i="6"/>
  <c r="M15" i="6"/>
  <c r="K15" i="6" s="1"/>
  <c r="M14" i="6"/>
  <c r="T21" i="8" l="1"/>
  <c r="M3" i="6"/>
  <c r="M4" i="6"/>
  <c r="I4" i="6" l="1"/>
  <c r="I3" i="6"/>
  <c r="J3" i="6"/>
  <c r="J4" i="6"/>
  <c r="M20" i="6" l="1"/>
  <c r="M9" i="6"/>
  <c r="J9" i="6"/>
  <c r="I9" i="6"/>
  <c r="M21" i="6" l="1"/>
  <c r="M18" i="6"/>
  <c r="M17" i="6"/>
  <c r="I18" i="6"/>
  <c r="M10" i="6" l="1"/>
  <c r="M7" i="6"/>
  <c r="M6" i="6"/>
  <c r="J10" i="6"/>
  <c r="J7" i="6"/>
  <c r="J6" i="6"/>
  <c r="I10" i="6"/>
  <c r="I7" i="6"/>
  <c r="I6" i="6"/>
  <c r="I14" i="6"/>
  <c r="J14" i="6" l="1"/>
  <c r="J18" i="6"/>
  <c r="J17" i="6"/>
  <c r="J15" i="6"/>
  <c r="K21" i="6"/>
  <c r="F18" i="6" l="1"/>
  <c r="E23" i="6" l="1"/>
  <c r="J21" i="6" l="1"/>
  <c r="J20" i="6"/>
  <c r="K20" i="6" l="1"/>
  <c r="H30" i="6" l="1"/>
  <c r="K30" i="6" l="1"/>
  <c r="M22" i="6" l="1"/>
  <c r="M19" i="6"/>
  <c r="M5" i="6"/>
  <c r="M16" i="6"/>
  <c r="I5" i="6"/>
  <c r="M8" i="6"/>
  <c r="J8" i="6"/>
  <c r="J19" i="6" s="1"/>
  <c r="I19" i="6"/>
  <c r="D29" i="6" s="1"/>
  <c r="C30" i="6" s="1"/>
  <c r="M11" i="6" l="1"/>
  <c r="M24" i="6" s="1"/>
  <c r="J22" i="6"/>
  <c r="C29" i="6"/>
  <c r="C18" i="6"/>
  <c r="J5" i="6"/>
  <c r="J16" i="6" s="1"/>
  <c r="M23" i="6"/>
  <c r="I8" i="6"/>
  <c r="M25" i="6" l="1"/>
  <c r="K17" i="6" s="1"/>
  <c r="K18" i="6"/>
  <c r="I24" i="6"/>
  <c r="K14" i="6" l="1"/>
  <c r="K22" i="6"/>
  <c r="M26" i="6"/>
  <c r="K23" i="6" s="1"/>
  <c r="K16" i="6"/>
  <c r="K19" i="6"/>
  <c r="K24" i="6" l="1"/>
  <c r="M31" i="6"/>
  <c r="F22" i="6" s="1"/>
  <c r="K25" i="6"/>
  <c r="F21" i="6" l="1"/>
  <c r="F23" i="6"/>
</calcChain>
</file>

<file path=xl/sharedStrings.xml><?xml version="1.0" encoding="utf-8"?>
<sst xmlns="http://schemas.openxmlformats.org/spreadsheetml/2006/main" count="202" uniqueCount="158">
  <si>
    <t>Referans</t>
  </si>
  <si>
    <t xml:space="preserve"> Yapılacak İşin Cinsi</t>
  </si>
  <si>
    <t>Üretici</t>
  </si>
  <si>
    <t>Miktar</t>
  </si>
  <si>
    <t>Mlz. Br. Fiyat</t>
  </si>
  <si>
    <t>Mlz.İsk.</t>
  </si>
  <si>
    <t>Adam/dk</t>
  </si>
  <si>
    <t>Montaj Br.Fyt</t>
  </si>
  <si>
    <t>Net Mlz. Alış</t>
  </si>
  <si>
    <t>Mlz.Kar</t>
  </si>
  <si>
    <t>Mont. Kar</t>
  </si>
  <si>
    <t>Gn Gd</t>
  </si>
  <si>
    <t>Mlz. List Top.</t>
  </si>
  <si>
    <t>Mlz. Net Top.</t>
  </si>
  <si>
    <t>Montaj.Top.</t>
  </si>
  <si>
    <t>Mlz.KarTp.</t>
  </si>
  <si>
    <t>Mont.KarTop.</t>
  </si>
  <si>
    <t>Tp.Ad/h.</t>
  </si>
  <si>
    <t>Top. Gn.Gd</t>
  </si>
  <si>
    <t>.</t>
  </si>
  <si>
    <t>Birim Fiyat</t>
  </si>
  <si>
    <t>Toplam Fiyat</t>
  </si>
  <si>
    <t>Proje Genel Yapım Bilgileri</t>
  </si>
  <si>
    <t>Teklif Hazırlanma Bilgileri</t>
  </si>
  <si>
    <t>Proje Adı</t>
  </si>
  <si>
    <t>-</t>
  </si>
  <si>
    <t>Hazırlayanın Adı Soyadı</t>
  </si>
  <si>
    <t>Proje Kısa Adresi</t>
  </si>
  <si>
    <t>Teklifle İlgili Kişi</t>
  </si>
  <si>
    <t>İşveren</t>
  </si>
  <si>
    <t>Teklif Genel Bilgileri</t>
  </si>
  <si>
    <t>Teklifin Numarası</t>
  </si>
  <si>
    <t>E.mail Adresi</t>
  </si>
  <si>
    <t>Teklifin İlk Veriliş Tarihi</t>
  </si>
  <si>
    <t>Teklifin Durumu</t>
  </si>
  <si>
    <t>Liste Fiyatı</t>
  </si>
  <si>
    <t>Net alış</t>
  </si>
  <si>
    <t>Döviz Kurları</t>
  </si>
  <si>
    <t>Adam/Saat Ücreti</t>
  </si>
  <si>
    <t>Ödeme Şekli</t>
  </si>
  <si>
    <t>Vade-Gün</t>
  </si>
  <si>
    <t xml:space="preserve">Ödeme  % </t>
  </si>
  <si>
    <t>Ödeme Tutarı</t>
  </si>
  <si>
    <t>Birim Pano</t>
  </si>
  <si>
    <t>Pano Tutarı</t>
  </si>
  <si>
    <t>Şalt  Malzeme Tutarı</t>
  </si>
  <si>
    <t>Bakır Bara</t>
  </si>
  <si>
    <t>Toplam Maliyet</t>
  </si>
  <si>
    <t>Genel Satış Tutarı</t>
  </si>
  <si>
    <t>Programı Hazırlayan: İlhan Şirin</t>
  </si>
  <si>
    <t>Telefon / Fax Numarası</t>
  </si>
  <si>
    <t>Sarf Malzeme Tutarı</t>
  </si>
  <si>
    <t>Ambalaj</t>
  </si>
  <si>
    <t>Ebat</t>
  </si>
  <si>
    <t>Sipariş Kd.</t>
  </si>
  <si>
    <t>Siparişte / Gün / % / Tutar</t>
  </si>
  <si>
    <t>Teslimde / Gün / % / Tutar</t>
  </si>
  <si>
    <t xml:space="preserve">Malzeme Temin Süresi </t>
  </si>
  <si>
    <t>Hafta</t>
  </si>
  <si>
    <t>Grup</t>
  </si>
  <si>
    <t>Oran %</t>
  </si>
  <si>
    <t>İşçilikTutarı</t>
  </si>
  <si>
    <t>Teklif Toplamı</t>
  </si>
  <si>
    <t>Yekünden iskonto Bölümü</t>
  </si>
  <si>
    <t>Dip Yekün Tenzilatı</t>
  </si>
  <si>
    <t>KAR Toplam</t>
  </si>
  <si>
    <t>Takipte</t>
  </si>
  <si>
    <t>Nakliye, Vinç, Depolama vs.</t>
  </si>
  <si>
    <t>Genel Gider Tutar İlavesi</t>
  </si>
  <si>
    <t>Aylık Vade Oranı (%)</t>
  </si>
  <si>
    <t>Toplam Miktar</t>
  </si>
  <si>
    <t>Şalt Malzeme</t>
  </si>
  <si>
    <t>Sarf Malzeme</t>
  </si>
  <si>
    <t>İşçilik</t>
  </si>
  <si>
    <t>Maliyet Analizi</t>
  </si>
  <si>
    <t>Ana Giriş Verileri</t>
  </si>
  <si>
    <t>Üretim Süresi (Saat/Adam)</t>
  </si>
  <si>
    <t>Hesaplanan Teslimat Bilgileri</t>
  </si>
  <si>
    <t>Üretim Süresi (gün) / Teknisyen</t>
  </si>
  <si>
    <t>Teslim Süresi (Hafta)</t>
  </si>
  <si>
    <t>Teslim Şekli (Grup)</t>
  </si>
  <si>
    <t>Kar Oran % Çarpanı</t>
  </si>
  <si>
    <t>Bölümler Kar Toplamı</t>
  </si>
  <si>
    <t>İsk. Tutarı</t>
  </si>
  <si>
    <t>İsk. Teklif Toplamı</t>
  </si>
  <si>
    <t>Dip Yekün Kar</t>
  </si>
  <si>
    <t>Kar Toplamı (Bölümler)</t>
  </si>
  <si>
    <t>Bölümler Kar Oranları</t>
  </si>
  <si>
    <t>Açıklamalar ve Notlar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</si>
  <si>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</si>
  <si>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</si>
  <si>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</si>
  <si>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</si>
  <si>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</si>
  <si>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</si>
  <si>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</si>
  <si>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</si>
  <si>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</si>
  <si>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</si>
  <si>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</si>
  <si>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</si>
  <si>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</si>
  <si>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</si>
  <si>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</si>
  <si>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</si>
  <si>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</si>
  <si>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</si>
  <si>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</si>
  <si>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</si>
  <si>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S.No</t>
  </si>
  <si>
    <t>Toplam Oran %</t>
  </si>
  <si>
    <t>Panolar</t>
  </si>
  <si>
    <t>Pano Sac Parça &amp; Aks.Tutarı</t>
  </si>
  <si>
    <t>Pano Sac Parça &amp; Aks.</t>
  </si>
  <si>
    <t>Pano Bilgileri</t>
  </si>
  <si>
    <t>FİYAT ANALİZ SAYFASI V1.2</t>
  </si>
  <si>
    <t>Teklif Döviz Cinsi</t>
  </si>
  <si>
    <t>Teklif Döviz Satış</t>
  </si>
  <si>
    <t>R-040424-103441</t>
  </si>
  <si>
    <t>04 Nisan 2024 10:34:41</t>
  </si>
  <si>
    <t>BAKIR AĞIRLIĞI HESAPLAMA TABLOSU</t>
  </si>
  <si>
    <t>ANA BARA</t>
  </si>
  <si>
    <t>PANO GENİŞLİĞİ</t>
  </si>
  <si>
    <t>PE</t>
  </si>
  <si>
    <t>AKIM
DEĞERİ</t>
  </si>
  <si>
    <t>KESİT</t>
  </si>
  <si>
    <t>1M. KG.</t>
  </si>
  <si>
    <t>ADET</t>
  </si>
  <si>
    <t>KUTUP</t>
  </si>
  <si>
    <t>DİKEY
BARA</t>
  </si>
  <si>
    <t xml:space="preserve"> ANA BARA
UZUNLUK</t>
  </si>
  <si>
    <t>PE
UZUNLUK</t>
  </si>
  <si>
    <t>AĞIRLIK</t>
  </si>
  <si>
    <t>20x5</t>
  </si>
  <si>
    <t>15x3</t>
  </si>
  <si>
    <t>30x5</t>
  </si>
  <si>
    <t>30x10</t>
  </si>
  <si>
    <t>50x10</t>
  </si>
  <si>
    <t>40x5</t>
  </si>
  <si>
    <t>60x10</t>
  </si>
  <si>
    <t>80x10</t>
  </si>
  <si>
    <t>40x10</t>
  </si>
  <si>
    <t>100x10</t>
  </si>
  <si>
    <t>120x10</t>
  </si>
  <si>
    <t>160x10</t>
  </si>
  <si>
    <t>ŞALTER BACAKLARI</t>
  </si>
  <si>
    <t>ANA BARA VE PE AĞIRLIĞI :</t>
  </si>
  <si>
    <t>ŞALTER
SAYISI</t>
  </si>
  <si>
    <t>GİRİŞ
BAĞLANTI
UZUNLUĞU</t>
  </si>
  <si>
    <t>ÇIKIŞ
BAĞLANTI
UZUNLUĞU</t>
  </si>
  <si>
    <t>TOPLAM
UZUNLUK</t>
  </si>
  <si>
    <t>TOPLAM BAKIR AĞIRLIĞI :</t>
  </si>
  <si>
    <t>FİRE ORANI</t>
  </si>
  <si>
    <t>ŞALTER BACAK AĞIRLIĞI :</t>
  </si>
  <si>
    <t>BÖLÜM ADI/NO:</t>
  </si>
  <si>
    <t>SERCAN GÜNGÖR</t>
  </si>
  <si>
    <t>Teklif Para Birimi (USD)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</si>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</sst>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164" formatCode="&quot;₺&quot;#,##0.00_);\(&quot;₺&quot;#,##0.00\)"/>
    <numFmt numFmtId="165" formatCode="_-* #,##0\ _T_L_-;\-* #,##0\ _T_L_-;_-* &quot;-&quot;\ _T_L_-;_-@_-"/>
    <numFmt numFmtId="166" formatCode="#,##0.0"/>
    <numFmt numFmtId="167" formatCode="\%0.0"/>
    <numFmt numFmtId="168" formatCode="_(&quot;$&quot;* #,##0_);_(&quot;$&quot;* \(#,##0\);_(&quot;$&quot;* &quot;-&quot;_);_(@_)"/>
    <numFmt numFmtId="169" formatCode="_(&quot;1$&quot;* #,##0.00\ &quot;₺&quot;_)"/>
    <numFmt numFmtId="170" formatCode="_(&quot;1€&quot;* #,##0.00\ &quot;₺&quot;_)"/>
    <numFmt numFmtId="171" formatCode="#,##0.00\ &quot;₺&quot;"/>
    <numFmt numFmtId="172" formatCode="#,##0\ &quot;Ad.&quot;"/>
    <numFmt numFmtId="173" formatCode="#,##0\ &quot;Kg&quot;"/>
    <numFmt numFmtId="174" formatCode="#,##0.0\ &quot;saat&quot;"/>
    <numFmt numFmtId="175" formatCode="#,##0\ &quot;Tekn.&quot;"/>
    <numFmt numFmtId="176" formatCode="#,##0.0\ &quot;gün&quot;"/>
    <numFmt numFmtId="177" formatCode="#,##0\ &quot;gün&quot;"/>
    <numFmt numFmtId="178" formatCode="\%0"/>
    <numFmt numFmtId="179" formatCode="0.0%"/>
    <numFmt numFmtId="180" formatCode="#,##0.00\ [$$-C0C]"/>
    <numFmt numFmtId="181" formatCode="#0\ &quot;mm&quot;"/>
    <numFmt numFmtId="182" formatCode="#0\ &quot;A&quot;"/>
    <numFmt numFmtId="183" formatCode="#0.00\ &quot;m&quot;"/>
    <numFmt numFmtId="184" formatCode="#0.00\ &quot;KG.&quot;"/>
    <numFmt numFmtId="185" formatCode="#,##0\ &quot;Adet&quot;"/>
    <numFmt numFmtId="186" formatCode="#,##0.0000\ [$$-C0C]"/>
  </numFmts>
  <fonts count="2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9"/>
      <name val="Arial Tur"/>
      <family val="2"/>
      <charset val="162"/>
    </font>
    <font>
      <sz val="8.5"/>
      <name val="Arial Tur"/>
      <family val="2"/>
      <charset val="162"/>
    </font>
    <font>
      <u/>
      <sz val="10"/>
      <color indexed="12"/>
      <name val="Arial Tur"/>
      <charset val="162"/>
    </font>
    <font>
      <sz val="8"/>
      <name val="Arial Tur"/>
      <family val="2"/>
      <charset val="162"/>
    </font>
    <font>
      <sz val="10"/>
      <name val="Arial"/>
      <family val="2"/>
      <charset val="162"/>
    </font>
    <font>
      <b/>
      <sz val="12"/>
      <color theme="4"/>
      <name val="Arial Black"/>
      <family val="2"/>
      <charset val="162"/>
    </font>
    <font>
      <b/>
      <sz val="9.5"/>
      <color theme="3"/>
      <name val="Arial"/>
      <family val="2"/>
      <charset val="162"/>
    </font>
    <font>
      <sz val="9.5"/>
      <color theme="3"/>
      <name val="Arial"/>
      <family val="2"/>
      <charset val="162"/>
    </font>
    <font>
      <sz val="9"/>
      <color theme="1"/>
      <name val="Calibri"/>
      <family val="2"/>
      <charset val="162"/>
      <scheme val="minor"/>
    </font>
    <font>
      <sz val="9.5"/>
      <name val="Arial"/>
      <family val="2"/>
      <charset val="162"/>
    </font>
    <font>
      <sz val="9.5"/>
      <color theme="1"/>
      <name val="Arial"/>
      <family val="2"/>
      <charset val="162"/>
    </font>
    <font>
      <sz val="9.5"/>
      <color indexed="9"/>
      <name val="Arial"/>
      <family val="2"/>
      <charset val="162"/>
    </font>
    <font>
      <sz val="9.5"/>
      <color rgb="FFC00000"/>
      <name val="Arial"/>
      <family val="2"/>
      <charset val="162"/>
    </font>
    <font>
      <sz val="9"/>
      <color indexed="18"/>
      <name val="Arial Tur"/>
      <charset val="162"/>
    </font>
    <font>
      <sz val="9.5"/>
      <color theme="0"/>
      <name val="Arial"/>
      <family val="2"/>
      <charset val="162"/>
    </font>
    <font>
      <sz val="9"/>
      <color theme="0"/>
      <name val="Arial Tur"/>
      <family val="2"/>
      <charset val="162"/>
    </font>
    <font>
      <sz val="8"/>
      <name val="Calibri"/>
      <family val="2"/>
      <charset val="162"/>
      <scheme val="minor"/>
    </font>
    <font>
      <b/>
      <sz val="9.5"/>
      <color rgb="FFC00000"/>
      <name val="Arial"/>
      <family val="2"/>
      <charset val="162"/>
    </font>
    <font>
      <b/>
      <sz val="20"/>
      <color rgb="FFFF000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9"/>
      <color indexed="18"/>
      <name val="Arial Tur"/>
      <charset val="16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16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7" fillId="0" borderId="0"/>
    <xf numFmtId="0" fontId="7" fillId="0" borderId="0"/>
  </cellStyleXfs>
  <cellXfs count="242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4" fontId="3" fillId="0" borderId="0" xfId="0" applyNumberFormat="1" applyFont="1"/>
    <xf numFmtId="9" fontId="3" fillId="0" borderId="0" xfId="1" applyFont="1"/>
    <xf numFmtId="3" fontId="3" fillId="0" borderId="0" xfId="0" applyNumberFormat="1" applyFont="1" applyAlignment="1">
      <alignment horizontal="center"/>
    </xf>
    <xf numFmtId="166" fontId="3" fillId="0" borderId="0" xfId="0" applyNumberFormat="1" applyFont="1"/>
    <xf numFmtId="0" fontId="2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9" fontId="2" fillId="2" borderId="5" xfId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166" fontId="2" fillId="2" borderId="5" xfId="0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0" fontId="2" fillId="8" borderId="5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9" fillId="5" borderId="7" xfId="0" applyFont="1" applyFill="1" applyBorder="1" applyAlignment="1">
      <alignment horizontal="left"/>
    </xf>
    <xf numFmtId="0" fontId="10" fillId="5" borderId="8" xfId="0" applyFont="1" applyFill="1" applyBorder="1" applyAlignment="1">
      <alignment horizontal="left"/>
    </xf>
    <xf numFmtId="0" fontId="10" fillId="5" borderId="8" xfId="0" applyFont="1" applyFill="1" applyBorder="1" applyAlignment="1">
      <alignment horizontal="right"/>
    </xf>
    <xf numFmtId="0" fontId="10" fillId="5" borderId="9" xfId="0" applyFont="1" applyFill="1" applyBorder="1" applyAlignment="1">
      <alignment horizontal="left"/>
    </xf>
    <xf numFmtId="0" fontId="10" fillId="0" borderId="0" xfId="0" applyFont="1" applyAlignment="1">
      <alignment vertical="center"/>
    </xf>
    <xf numFmtId="0" fontId="11" fillId="0" borderId="0" xfId="0" applyFont="1"/>
    <xf numFmtId="49" fontId="12" fillId="0" borderId="11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0" fontId="14" fillId="9" borderId="13" xfId="0" applyFont="1" applyFill="1" applyBorder="1"/>
    <xf numFmtId="166" fontId="15" fillId="4" borderId="4" xfId="0" applyNumberFormat="1" applyFont="1" applyFill="1" applyBorder="1" applyAlignment="1">
      <alignment horizontal="right"/>
    </xf>
    <xf numFmtId="49" fontId="12" fillId="3" borderId="11" xfId="0" applyNumberFormat="1" applyFont="1" applyFill="1" applyBorder="1" applyAlignment="1">
      <alignment horizontal="left"/>
    </xf>
    <xf numFmtId="4" fontId="12" fillId="6" borderId="1" xfId="0" applyNumberFormat="1" applyFont="1" applyFill="1" applyBorder="1"/>
    <xf numFmtId="49" fontId="12" fillId="0" borderId="11" xfId="0" applyNumberFormat="1" applyFont="1" applyBorder="1" applyAlignment="1">
      <alignment horizontal="right"/>
    </xf>
    <xf numFmtId="0" fontId="13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vertical="center"/>
    </xf>
    <xf numFmtId="167" fontId="15" fillId="0" borderId="5" xfId="1" applyNumberFormat="1" applyFont="1" applyBorder="1" applyAlignment="1">
      <alignment horizontal="right"/>
    </xf>
    <xf numFmtId="0" fontId="16" fillId="0" borderId="0" xfId="0" applyFont="1"/>
    <xf numFmtId="3" fontId="10" fillId="7" borderId="3" xfId="0" applyNumberFormat="1" applyFont="1" applyFill="1" applyBorder="1"/>
    <xf numFmtId="3" fontId="10" fillId="7" borderId="3" xfId="0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12" fillId="2" borderId="10" xfId="0" applyFont="1" applyFill="1" applyBorder="1"/>
    <xf numFmtId="0" fontId="12" fillId="3" borderId="13" xfId="0" applyFont="1" applyFill="1" applyBorder="1" applyAlignment="1">
      <alignment horizontal="left"/>
    </xf>
    <xf numFmtId="0" fontId="12" fillId="2" borderId="16" xfId="0" applyFont="1" applyFill="1" applyBorder="1"/>
    <xf numFmtId="0" fontId="12" fillId="2" borderId="10" xfId="0" applyFont="1" applyFill="1" applyBorder="1" applyAlignment="1">
      <alignment horizontal="left"/>
    </xf>
    <xf numFmtId="49" fontId="12" fillId="0" borderId="12" xfId="0" applyNumberFormat="1" applyFont="1" applyBorder="1" applyAlignment="1" applyProtection="1">
      <alignment horizontal="left"/>
      <protection hidden="1"/>
    </xf>
    <xf numFmtId="49" fontId="12" fillId="0" borderId="17" xfId="2" applyNumberFormat="1" applyFont="1" applyBorder="1" applyAlignment="1" applyProtection="1"/>
    <xf numFmtId="49" fontId="12" fillId="0" borderId="11" xfId="0" applyNumberFormat="1" applyFont="1" applyBorder="1"/>
    <xf numFmtId="49" fontId="12" fillId="0" borderId="12" xfId="0" applyNumberFormat="1" applyFont="1" applyBorder="1"/>
    <xf numFmtId="49" fontId="12" fillId="0" borderId="12" xfId="0" applyNumberFormat="1" applyFont="1" applyBorder="1" applyAlignment="1">
      <alignment horizontal="left"/>
    </xf>
    <xf numFmtId="49" fontId="12" fillId="3" borderId="11" xfId="0" applyNumberFormat="1" applyFont="1" applyFill="1" applyBorder="1" applyAlignment="1">
      <alignment horizontal="right"/>
    </xf>
    <xf numFmtId="49" fontId="12" fillId="3" borderId="12" xfId="0" applyNumberFormat="1" applyFont="1" applyFill="1" applyBorder="1" applyAlignment="1">
      <alignment horizontal="left"/>
    </xf>
    <xf numFmtId="49" fontId="12" fillId="3" borderId="11" xfId="0" applyNumberFormat="1" applyFont="1" applyFill="1" applyBorder="1"/>
    <xf numFmtId="49" fontId="12" fillId="0" borderId="11" xfId="0" applyNumberFormat="1" applyFont="1" applyBorder="1" applyAlignment="1" applyProtection="1">
      <alignment horizontal="left"/>
      <protection hidden="1"/>
    </xf>
    <xf numFmtId="49" fontId="12" fillId="0" borderId="11" xfId="0" applyNumberFormat="1" applyFont="1" applyBorder="1" applyAlignment="1" applyProtection="1">
      <alignment horizontal="right"/>
      <protection hidden="1"/>
    </xf>
    <xf numFmtId="49" fontId="12" fillId="0" borderId="17" xfId="0" applyNumberFormat="1" applyFont="1" applyBorder="1" applyAlignment="1">
      <alignment horizontal="left"/>
    </xf>
    <xf numFmtId="49" fontId="12" fillId="0" borderId="17" xfId="0" applyNumberFormat="1" applyFont="1" applyBorder="1" applyAlignment="1">
      <alignment horizontal="right"/>
    </xf>
    <xf numFmtId="49" fontId="12" fillId="0" borderId="15" xfId="0" applyNumberFormat="1" applyFont="1" applyBorder="1" applyAlignment="1">
      <alignment horizontal="left"/>
    </xf>
    <xf numFmtId="4" fontId="12" fillId="11" borderId="5" xfId="0" applyNumberFormat="1" applyFont="1" applyFill="1" applyBorder="1" applyAlignment="1">
      <alignment horizontal="right"/>
    </xf>
    <xf numFmtId="0" fontId="9" fillId="5" borderId="2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0" fillId="5" borderId="4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left"/>
    </xf>
    <xf numFmtId="0" fontId="9" fillId="5" borderId="2" xfId="0" applyFont="1" applyFill="1" applyBorder="1"/>
    <xf numFmtId="0" fontId="9" fillId="5" borderId="4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2" fillId="2" borderId="6" xfId="0" applyFont="1" applyFill="1" applyBorder="1"/>
    <xf numFmtId="174" fontId="17" fillId="10" borderId="6" xfId="0" applyNumberFormat="1" applyFont="1" applyFill="1" applyBorder="1" applyAlignment="1">
      <alignment horizontal="center"/>
    </xf>
    <xf numFmtId="0" fontId="3" fillId="0" borderId="6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right"/>
    </xf>
    <xf numFmtId="0" fontId="12" fillId="2" borderId="7" xfId="0" applyFont="1" applyFill="1" applyBorder="1" applyAlignment="1">
      <alignment horizontal="left"/>
    </xf>
    <xf numFmtId="0" fontId="12" fillId="2" borderId="18" xfId="0" applyFont="1" applyFill="1" applyBorder="1" applyAlignment="1">
      <alignment horizontal="left"/>
    </xf>
    <xf numFmtId="4" fontId="12" fillId="6" borderId="6" xfId="0" applyNumberFormat="1" applyFont="1" applyFill="1" applyBorder="1"/>
    <xf numFmtId="0" fontId="17" fillId="10" borderId="6" xfId="0" applyFont="1" applyFill="1" applyBorder="1" applyAlignment="1">
      <alignment horizontal="left"/>
    </xf>
    <xf numFmtId="174" fontId="17" fillId="10" borderId="2" xfId="0" applyNumberFormat="1" applyFont="1" applyFill="1" applyBorder="1" applyAlignment="1">
      <alignment horizontal="center"/>
    </xf>
    <xf numFmtId="0" fontId="3" fillId="6" borderId="6" xfId="0" applyFont="1" applyFill="1" applyBorder="1"/>
    <xf numFmtId="0" fontId="18" fillId="0" borderId="0" xfId="0" applyFont="1"/>
    <xf numFmtId="172" fontId="12" fillId="11" borderId="19" xfId="0" applyNumberFormat="1" applyFont="1" applyFill="1" applyBorder="1" applyAlignment="1">
      <alignment horizontal="right"/>
    </xf>
    <xf numFmtId="4" fontId="12" fillId="11" borderId="19" xfId="0" applyNumberFormat="1" applyFont="1" applyFill="1" applyBorder="1" applyAlignment="1">
      <alignment horizontal="right"/>
    </xf>
    <xf numFmtId="0" fontId="12" fillId="11" borderId="19" xfId="0" applyFont="1" applyFill="1" applyBorder="1" applyAlignment="1">
      <alignment horizontal="right"/>
    </xf>
    <xf numFmtId="173" fontId="12" fillId="11" borderId="19" xfId="0" applyNumberFormat="1" applyFont="1" applyFill="1" applyBorder="1" applyAlignment="1">
      <alignment horizontal="right"/>
    </xf>
    <xf numFmtId="174" fontId="12" fillId="11" borderId="19" xfId="0" applyNumberFormat="1" applyFont="1" applyFill="1" applyBorder="1" applyAlignment="1">
      <alignment horizontal="right"/>
    </xf>
    <xf numFmtId="0" fontId="10" fillId="5" borderId="9" xfId="0" applyFont="1" applyFill="1" applyBorder="1" applyAlignment="1">
      <alignment horizontal="right"/>
    </xf>
    <xf numFmtId="178" fontId="15" fillId="0" borderId="5" xfId="1" applyNumberFormat="1" applyFont="1" applyBorder="1" applyAlignment="1">
      <alignment horizontal="right"/>
    </xf>
    <xf numFmtId="0" fontId="17" fillId="12" borderId="22" xfId="0" applyFont="1" applyFill="1" applyBorder="1" applyAlignment="1">
      <alignment horizontal="right"/>
    </xf>
    <xf numFmtId="4" fontId="17" fillId="12" borderId="21" xfId="0" applyNumberFormat="1" applyFont="1" applyFill="1" applyBorder="1" applyAlignment="1">
      <alignment horizontal="right"/>
    </xf>
    <xf numFmtId="4" fontId="12" fillId="0" borderId="6" xfId="0" applyNumberFormat="1" applyFont="1" applyBorder="1"/>
    <xf numFmtId="178" fontId="15" fillId="0" borderId="14" xfId="1" applyNumberFormat="1" applyFont="1" applyBorder="1" applyAlignment="1">
      <alignment horizontal="right"/>
    </xf>
    <xf numFmtId="4" fontId="12" fillId="11" borderId="25" xfId="0" applyNumberFormat="1" applyFont="1" applyFill="1" applyBorder="1" applyAlignment="1">
      <alignment horizontal="right"/>
    </xf>
    <xf numFmtId="0" fontId="17" fillId="10" borderId="18" xfId="0" applyFont="1" applyFill="1" applyBorder="1" applyAlignment="1">
      <alignment horizontal="left"/>
    </xf>
    <xf numFmtId="0" fontId="17" fillId="10" borderId="17" xfId="0" applyFont="1" applyFill="1" applyBorder="1" applyAlignment="1">
      <alignment horizontal="left"/>
    </xf>
    <xf numFmtId="0" fontId="17" fillId="10" borderId="26" xfId="0" applyFont="1" applyFill="1" applyBorder="1" applyAlignment="1">
      <alignment horizontal="left"/>
    </xf>
    <xf numFmtId="4" fontId="17" fillId="10" borderId="27" xfId="0" applyNumberFormat="1" applyFont="1" applyFill="1" applyBorder="1" applyAlignment="1">
      <alignment horizontal="right"/>
    </xf>
    <xf numFmtId="0" fontId="17" fillId="12" borderId="24" xfId="0" applyFont="1" applyFill="1" applyBorder="1" applyAlignment="1">
      <alignment horizontal="left"/>
    </xf>
    <xf numFmtId="4" fontId="17" fillId="12" borderId="28" xfId="0" applyNumberFormat="1" applyFont="1" applyFill="1" applyBorder="1" applyAlignment="1">
      <alignment horizontal="right"/>
    </xf>
    <xf numFmtId="0" fontId="9" fillId="5" borderId="29" xfId="0" applyFont="1" applyFill="1" applyBorder="1"/>
    <xf numFmtId="0" fontId="10" fillId="5" borderId="30" xfId="0" applyFont="1" applyFill="1" applyBorder="1" applyAlignment="1">
      <alignment vertical="center"/>
    </xf>
    <xf numFmtId="0" fontId="10" fillId="5" borderId="31" xfId="0" applyFont="1" applyFill="1" applyBorder="1"/>
    <xf numFmtId="0" fontId="10" fillId="5" borderId="17" xfId="0" applyFont="1" applyFill="1" applyBorder="1"/>
    <xf numFmtId="4" fontId="9" fillId="5" borderId="15" xfId="0" applyNumberFormat="1" applyFont="1" applyFill="1" applyBorder="1" applyAlignment="1">
      <alignment horizontal="right"/>
    </xf>
    <xf numFmtId="4" fontId="12" fillId="0" borderId="28" xfId="0" applyNumberFormat="1" applyFont="1" applyBorder="1" applyAlignment="1">
      <alignment horizontal="right"/>
    </xf>
    <xf numFmtId="4" fontId="9" fillId="7" borderId="2" xfId="0" applyNumberFormat="1" applyFont="1" applyFill="1" applyBorder="1" applyAlignment="1">
      <alignment horizontal="left"/>
    </xf>
    <xf numFmtId="4" fontId="9" fillId="7" borderId="4" xfId="0" applyNumberFormat="1" applyFont="1" applyFill="1" applyBorder="1" applyAlignment="1">
      <alignment horizontal="right"/>
    </xf>
    <xf numFmtId="0" fontId="12" fillId="13" borderId="10" xfId="0" applyFont="1" applyFill="1" applyBorder="1" applyAlignment="1">
      <alignment horizontal="left"/>
    </xf>
    <xf numFmtId="0" fontId="12" fillId="13" borderId="23" xfId="0" applyFont="1" applyFill="1" applyBorder="1" applyAlignment="1">
      <alignment horizontal="left"/>
    </xf>
    <xf numFmtId="178" fontId="15" fillId="0" borderId="5" xfId="1" applyNumberFormat="1" applyFont="1" applyFill="1" applyBorder="1" applyAlignment="1">
      <alignment horizontal="right"/>
    </xf>
    <xf numFmtId="171" fontId="15" fillId="0" borderId="6" xfId="0" applyNumberFormat="1" applyFont="1" applyBorder="1" applyAlignment="1">
      <alignment horizontal="center"/>
    </xf>
    <xf numFmtId="3" fontId="15" fillId="4" borderId="6" xfId="0" applyNumberFormat="1" applyFont="1" applyFill="1" applyBorder="1" applyAlignment="1">
      <alignment horizontal="right"/>
    </xf>
    <xf numFmtId="0" fontId="15" fillId="4" borderId="3" xfId="0" applyFont="1" applyFill="1" applyBorder="1" applyAlignment="1">
      <alignment horizontal="right"/>
    </xf>
    <xf numFmtId="0" fontId="3" fillId="11" borderId="6" xfId="0" applyFont="1" applyFill="1" applyBorder="1"/>
    <xf numFmtId="0" fontId="0" fillId="11" borderId="6" xfId="0" applyFill="1" applyBorder="1"/>
    <xf numFmtId="4" fontId="12" fillId="11" borderId="32" xfId="0" applyNumberFormat="1" applyFont="1" applyFill="1" applyBorder="1" applyAlignment="1">
      <alignment horizontal="right"/>
    </xf>
    <xf numFmtId="0" fontId="15" fillId="5" borderId="3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10" fontId="12" fillId="11" borderId="6" xfId="1" applyNumberFormat="1" applyFont="1" applyFill="1" applyBorder="1" applyAlignment="1"/>
    <xf numFmtId="0" fontId="12" fillId="0" borderId="6" xfId="0" applyFont="1" applyBorder="1" applyAlignment="1">
      <alignment horizontal="left"/>
    </xf>
    <xf numFmtId="179" fontId="12" fillId="0" borderId="2" xfId="1" applyNumberFormat="1" applyFont="1" applyFill="1" applyBorder="1" applyAlignment="1"/>
    <xf numFmtId="179" fontId="12" fillId="0" borderId="4" xfId="1" applyNumberFormat="1" applyFont="1" applyFill="1" applyBorder="1" applyAlignment="1"/>
    <xf numFmtId="179" fontId="12" fillId="11" borderId="2" xfId="1" applyNumberFormat="1" applyFont="1" applyFill="1" applyBorder="1" applyAlignment="1">
      <alignment horizontal="right"/>
    </xf>
    <xf numFmtId="179" fontId="12" fillId="11" borderId="4" xfId="1" applyNumberFormat="1" applyFont="1" applyFill="1" applyBorder="1" applyAlignment="1">
      <alignment horizontal="right"/>
    </xf>
    <xf numFmtId="10" fontId="12" fillId="11" borderId="20" xfId="1" applyNumberFormat="1" applyFont="1" applyFill="1" applyBorder="1" applyAlignment="1">
      <alignment horizontal="right"/>
    </xf>
    <xf numFmtId="10" fontId="12" fillId="11" borderId="21" xfId="1" applyNumberFormat="1" applyFont="1" applyFill="1" applyBorder="1" applyAlignment="1">
      <alignment horizontal="right"/>
    </xf>
    <xf numFmtId="10" fontId="12" fillId="11" borderId="24" xfId="1" applyNumberFormat="1" applyFont="1" applyFill="1" applyBorder="1" applyAlignment="1">
      <alignment horizontal="right"/>
    </xf>
    <xf numFmtId="10" fontId="12" fillId="12" borderId="20" xfId="1" applyNumberFormat="1" applyFont="1" applyFill="1" applyBorder="1" applyAlignment="1">
      <alignment horizontal="right"/>
    </xf>
    <xf numFmtId="10" fontId="12" fillId="12" borderId="21" xfId="1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center"/>
    </xf>
    <xf numFmtId="177" fontId="12" fillId="0" borderId="6" xfId="0" applyNumberFormat="1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76" fontId="17" fillId="12" borderId="6" xfId="0" applyNumberFormat="1" applyFont="1" applyFill="1" applyBorder="1" applyAlignment="1">
      <alignment horizontal="right"/>
    </xf>
    <xf numFmtId="0" fontId="3" fillId="12" borderId="6" xfId="0" applyFont="1" applyFill="1" applyBorder="1" applyAlignment="1">
      <alignment horizontal="right"/>
    </xf>
    <xf numFmtId="175" fontId="17" fillId="12" borderId="6" xfId="0" applyNumberFormat="1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right"/>
    </xf>
    <xf numFmtId="0" fontId="3" fillId="11" borderId="6" xfId="0" applyFont="1" applyFill="1" applyBorder="1" applyAlignment="1">
      <alignment horizontal="right"/>
    </xf>
    <xf numFmtId="0" fontId="9" fillId="5" borderId="3" xfId="0" applyFont="1" applyFill="1" applyBorder="1" applyAlignment="1">
      <alignment horizontal="left"/>
    </xf>
    <xf numFmtId="0" fontId="15" fillId="2" borderId="6" xfId="0" applyFont="1" applyFill="1" applyBorder="1"/>
    <xf numFmtId="0" fontId="12" fillId="11" borderId="2" xfId="0" applyFont="1" applyFill="1" applyBorder="1" applyAlignment="1">
      <alignment horizontal="left"/>
    </xf>
    <xf numFmtId="0" fontId="14" fillId="11" borderId="13" xfId="0" applyFont="1" applyFill="1" applyBorder="1" applyAlignment="1">
      <alignment horizontal="left"/>
    </xf>
    <xf numFmtId="164" fontId="20" fillId="0" borderId="4" xfId="0" applyNumberFormat="1" applyFont="1" applyBorder="1" applyAlignment="1">
      <alignment horizontal="right"/>
    </xf>
    <xf numFmtId="0" fontId="12" fillId="11" borderId="4" xfId="0" applyFont="1" applyFill="1" applyBorder="1" applyAlignment="1">
      <alignment horizontal="right"/>
    </xf>
    <xf numFmtId="0" fontId="10" fillId="5" borderId="3" xfId="0" applyFont="1" applyFill="1" applyBorder="1" applyAlignment="1">
      <alignment horizontal="right"/>
    </xf>
    <xf numFmtId="0" fontId="20" fillId="0" borderId="2" xfId="0" applyFont="1" applyBorder="1" applyAlignment="1">
      <alignment horizontal="right"/>
    </xf>
    <xf numFmtId="0" fontId="10" fillId="5" borderId="4" xfId="0" applyFont="1" applyFill="1" applyBorder="1" applyAlignment="1">
      <alignment horizontal="center"/>
    </xf>
    <xf numFmtId="0" fontId="7" fillId="0" borderId="0" xfId="5"/>
    <xf numFmtId="0" fontId="23" fillId="14" borderId="40" xfId="6" applyFont="1" applyFill="1" applyBorder="1" applyAlignment="1">
      <alignment horizontal="center" vertical="center"/>
    </xf>
    <xf numFmtId="0" fontId="23" fillId="14" borderId="42" xfId="6" applyFont="1" applyFill="1" applyBorder="1" applyAlignment="1">
      <alignment horizontal="center" vertical="center"/>
    </xf>
    <xf numFmtId="0" fontId="23" fillId="14" borderId="43" xfId="6" applyFont="1" applyFill="1" applyBorder="1" applyAlignment="1">
      <alignment horizontal="center" vertical="center" wrapText="1"/>
    </xf>
    <xf numFmtId="0" fontId="23" fillId="14" borderId="6" xfId="6" applyFont="1" applyFill="1" applyBorder="1" applyAlignment="1">
      <alignment horizontal="center" vertical="center"/>
    </xf>
    <xf numFmtId="181" fontId="23" fillId="14" borderId="6" xfId="6" applyNumberFormat="1" applyFont="1" applyFill="1" applyBorder="1" applyAlignment="1">
      <alignment horizontal="center" vertical="center"/>
    </xf>
    <xf numFmtId="0" fontId="23" fillId="14" borderId="6" xfId="6" applyFont="1" applyFill="1" applyBorder="1" applyAlignment="1">
      <alignment horizontal="center" vertical="center" wrapText="1"/>
    </xf>
    <xf numFmtId="0" fontId="23" fillId="14" borderId="44" xfId="6" applyFont="1" applyFill="1" applyBorder="1" applyAlignment="1">
      <alignment horizontal="center" vertical="center"/>
    </xf>
    <xf numFmtId="182" fontId="23" fillId="14" borderId="43" xfId="6" applyNumberFormat="1" applyFont="1" applyFill="1" applyBorder="1" applyAlignment="1">
      <alignment horizontal="center" vertical="center"/>
    </xf>
    <xf numFmtId="0" fontId="24" fillId="15" borderId="6" xfId="6" applyFont="1" applyFill="1" applyBorder="1" applyAlignment="1">
      <alignment horizontal="center" vertical="center"/>
    </xf>
    <xf numFmtId="183" fontId="24" fillId="14" borderId="6" xfId="6" applyNumberFormat="1" applyFont="1" applyFill="1" applyBorder="1" applyAlignment="1">
      <alignment horizontal="center" vertical="center"/>
    </xf>
    <xf numFmtId="0" fontId="24" fillId="14" borderId="6" xfId="6" applyFont="1" applyFill="1" applyBorder="1" applyAlignment="1">
      <alignment horizontal="center" vertical="center"/>
    </xf>
    <xf numFmtId="184" fontId="24" fillId="14" borderId="44" xfId="6" applyNumberFormat="1" applyFont="1" applyFill="1" applyBorder="1" applyAlignment="1">
      <alignment horizontal="center" vertical="center"/>
    </xf>
    <xf numFmtId="0" fontId="23" fillId="14" borderId="2" xfId="6" applyFont="1" applyFill="1" applyBorder="1" applyAlignment="1">
      <alignment horizontal="center" vertical="center"/>
    </xf>
    <xf numFmtId="0" fontId="24" fillId="16" borderId="6" xfId="6" applyFont="1" applyFill="1" applyBorder="1" applyAlignment="1">
      <alignment horizontal="center" vertical="center"/>
    </xf>
    <xf numFmtId="183" fontId="23" fillId="14" borderId="6" xfId="6" applyNumberFormat="1" applyFont="1" applyFill="1" applyBorder="1" applyAlignment="1">
      <alignment horizontal="center" vertical="center"/>
    </xf>
    <xf numFmtId="184" fontId="23" fillId="14" borderId="2" xfId="6" applyNumberFormat="1" applyFont="1" applyFill="1" applyBorder="1" applyAlignment="1">
      <alignment horizontal="center" vertical="center"/>
    </xf>
    <xf numFmtId="0" fontId="24" fillId="16" borderId="6" xfId="6" applyFont="1" applyFill="1" applyBorder="1" applyAlignment="1">
      <alignment horizontal="center"/>
    </xf>
    <xf numFmtId="169" fontId="15" fillId="0" borderId="65" xfId="0" applyNumberFormat="1" applyFont="1" applyBorder="1"/>
    <xf numFmtId="170" fontId="15" fillId="0" borderId="65" xfId="0" applyNumberFormat="1" applyFont="1" applyBorder="1"/>
    <xf numFmtId="3" fontId="2" fillId="0" borderId="0" xfId="0" applyNumberFormat="1" applyFont="1" applyAlignment="1">
      <alignment horizontal="center"/>
    </xf>
    <xf numFmtId="49" fontId="26" fillId="0" borderId="65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/>
    </xf>
    <xf numFmtId="49" fontId="26" fillId="0" borderId="3" xfId="0" applyNumberFormat="1" applyFont="1" applyBorder="1" applyAlignment="1">
      <alignment horizontal="left"/>
    </xf>
    <xf numFmtId="49" fontId="26" fillId="0" borderId="3" xfId="0" applyNumberFormat="1" applyFont="1" applyBorder="1" applyAlignment="1">
      <alignment horizontal="center"/>
    </xf>
    <xf numFmtId="4" fontId="26" fillId="0" borderId="2" xfId="0" applyNumberFormat="1" applyFont="1" applyBorder="1" applyAlignment="1">
      <alignment horizontal="center"/>
    </xf>
    <xf numFmtId="9" fontId="26" fillId="0" borderId="3" xfId="1" applyFont="1" applyFill="1" applyBorder="1" applyAlignment="1">
      <alignment horizontal="center"/>
    </xf>
    <xf numFmtId="3" fontId="26" fillId="0" borderId="3" xfId="0" applyNumberFormat="1" applyFont="1" applyBorder="1" applyAlignment="1">
      <alignment horizontal="center"/>
    </xf>
    <xf numFmtId="166" fontId="26" fillId="0" borderId="3" xfId="0" applyNumberFormat="1" applyFont="1" applyBorder="1" applyAlignment="1">
      <alignment horizontal="center"/>
    </xf>
    <xf numFmtId="3" fontId="26" fillId="0" borderId="4" xfId="0" applyNumberFormat="1" applyFont="1" applyBorder="1" applyAlignment="1">
      <alignment horizontal="center"/>
    </xf>
    <xf numFmtId="185" fontId="26" fillId="0" borderId="4" xfId="0" applyNumberFormat="1" applyFont="1" applyBorder="1" applyAlignment="1">
      <alignment horizontal="right"/>
    </xf>
    <xf numFmtId="180" fontId="2" fillId="3" borderId="5" xfId="0" applyNumberFormat="1" applyFont="1" applyFill="1" applyBorder="1" applyAlignment="1">
      <alignment horizontal="center"/>
    </xf>
    <xf numFmtId="180" fontId="26" fillId="0" borderId="2" xfId="0" applyNumberFormat="1" applyFont="1" applyBorder="1" applyAlignment="1">
      <alignment horizontal="center"/>
    </xf>
    <xf numFmtId="180" fontId="26" fillId="0" borderId="4" xfId="0" applyNumberFormat="1" applyFont="1" applyBorder="1" applyAlignment="1">
      <alignment horizontal="center"/>
    </xf>
    <xf numFmtId="180" fontId="3" fillId="0" borderId="0" xfId="0" applyNumberFormat="1" applyFont="1"/>
    <xf numFmtId="186" fontId="12" fillId="0" borderId="4" xfId="0" applyNumberFormat="1" applyFont="1" applyBorder="1" applyAlignment="1">
      <alignment horizontal="right"/>
    </xf>
    <xf numFmtId="0" fontId="25" fillId="14" borderId="55" xfId="6" applyFont="1" applyFill="1" applyBorder="1" applyAlignment="1">
      <alignment horizontal="right" vertical="center"/>
    </xf>
    <xf numFmtId="0" fontId="25" fillId="14" borderId="56" xfId="6" applyFont="1" applyFill="1" applyBorder="1" applyAlignment="1">
      <alignment horizontal="right" vertical="center"/>
    </xf>
    <xf numFmtId="0" fontId="25" fillId="14" borderId="58" xfId="6" applyFont="1" applyFill="1" applyBorder="1" applyAlignment="1">
      <alignment horizontal="right" vertical="center"/>
    </xf>
    <xf numFmtId="0" fontId="25" fillId="14" borderId="0" xfId="6" applyFont="1" applyFill="1" applyAlignment="1">
      <alignment horizontal="right" vertical="center"/>
    </xf>
    <xf numFmtId="0" fontId="25" fillId="14" borderId="60" xfId="6" applyFont="1" applyFill="1" applyBorder="1" applyAlignment="1">
      <alignment horizontal="right" vertical="center"/>
    </xf>
    <xf numFmtId="0" fontId="25" fillId="14" borderId="61" xfId="6" applyFont="1" applyFill="1" applyBorder="1" applyAlignment="1">
      <alignment horizontal="right" vertical="center"/>
    </xf>
    <xf numFmtId="184" fontId="25" fillId="14" borderId="56" xfId="6" applyNumberFormat="1" applyFont="1" applyFill="1" applyBorder="1" applyAlignment="1">
      <alignment horizontal="center" vertical="center"/>
    </xf>
    <xf numFmtId="184" fontId="25" fillId="14" borderId="57" xfId="6" applyNumberFormat="1" applyFont="1" applyFill="1" applyBorder="1" applyAlignment="1">
      <alignment horizontal="center" vertical="center"/>
    </xf>
    <xf numFmtId="184" fontId="25" fillId="14" borderId="0" xfId="6" applyNumberFormat="1" applyFont="1" applyFill="1" applyAlignment="1">
      <alignment horizontal="center" vertical="center"/>
    </xf>
    <xf numFmtId="184" fontId="25" fillId="14" borderId="59" xfId="6" applyNumberFormat="1" applyFont="1" applyFill="1" applyBorder="1" applyAlignment="1">
      <alignment horizontal="center" vertical="center"/>
    </xf>
    <xf numFmtId="184" fontId="25" fillId="14" borderId="61" xfId="6" applyNumberFormat="1" applyFont="1" applyFill="1" applyBorder="1" applyAlignment="1">
      <alignment horizontal="center" vertical="center"/>
    </xf>
    <xf numFmtId="184" fontId="25" fillId="14" borderId="62" xfId="6" applyNumberFormat="1" applyFont="1" applyFill="1" applyBorder="1" applyAlignment="1">
      <alignment horizontal="center" vertical="center"/>
    </xf>
    <xf numFmtId="0" fontId="25" fillId="14" borderId="55" xfId="6" applyFont="1" applyFill="1" applyBorder="1" applyAlignment="1">
      <alignment horizontal="center" vertical="center"/>
    </xf>
    <xf numFmtId="0" fontId="25" fillId="14" borderId="56" xfId="6" applyFont="1" applyFill="1" applyBorder="1" applyAlignment="1">
      <alignment horizontal="center" vertical="center"/>
    </xf>
    <xf numFmtId="0" fontId="25" fillId="14" borderId="57" xfId="6" applyFont="1" applyFill="1" applyBorder="1" applyAlignment="1">
      <alignment horizontal="center" vertical="center"/>
    </xf>
    <xf numFmtId="0" fontId="25" fillId="14" borderId="58" xfId="6" applyFont="1" applyFill="1" applyBorder="1" applyAlignment="1">
      <alignment horizontal="center" vertical="center"/>
    </xf>
    <xf numFmtId="0" fontId="25" fillId="14" borderId="0" xfId="6" applyFont="1" applyFill="1" applyAlignment="1">
      <alignment horizontal="center" vertical="center"/>
    </xf>
    <xf numFmtId="0" fontId="25" fillId="14" borderId="59" xfId="6" applyFont="1" applyFill="1" applyBorder="1" applyAlignment="1">
      <alignment horizontal="center" vertical="center"/>
    </xf>
    <xf numFmtId="0" fontId="25" fillId="14" borderId="60" xfId="6" applyFont="1" applyFill="1" applyBorder="1" applyAlignment="1">
      <alignment horizontal="center" vertical="center"/>
    </xf>
    <xf numFmtId="0" fontId="25" fillId="14" borderId="61" xfId="6" applyFont="1" applyFill="1" applyBorder="1" applyAlignment="1">
      <alignment horizontal="center" vertical="center"/>
    </xf>
    <xf numFmtId="0" fontId="25" fillId="14" borderId="62" xfId="6" applyFont="1" applyFill="1" applyBorder="1" applyAlignment="1">
      <alignment horizontal="center" vertical="center"/>
    </xf>
    <xf numFmtId="0" fontId="22" fillId="14" borderId="63" xfId="6" applyFont="1" applyFill="1" applyBorder="1" applyAlignment="1">
      <alignment horizontal="right"/>
    </xf>
    <xf numFmtId="0" fontId="22" fillId="14" borderId="53" xfId="6" applyFont="1" applyFill="1" applyBorder="1" applyAlignment="1">
      <alignment horizontal="right"/>
    </xf>
    <xf numFmtId="0" fontId="22" fillId="14" borderId="64" xfId="6" applyFont="1" applyFill="1" applyBorder="1" applyAlignment="1">
      <alignment horizontal="right"/>
    </xf>
    <xf numFmtId="184" fontId="22" fillId="14" borderId="37" xfId="6" applyNumberFormat="1" applyFont="1" applyFill="1" applyBorder="1" applyAlignment="1">
      <alignment horizontal="center"/>
    </xf>
    <xf numFmtId="0" fontId="22" fillId="14" borderId="52" xfId="6" applyFont="1" applyFill="1" applyBorder="1" applyAlignment="1">
      <alignment horizontal="center"/>
    </xf>
    <xf numFmtId="0" fontId="21" fillId="14" borderId="33" xfId="6" applyFont="1" applyFill="1" applyBorder="1" applyAlignment="1">
      <alignment horizontal="center" vertical="center"/>
    </xf>
    <xf numFmtId="0" fontId="21" fillId="14" borderId="34" xfId="6" applyFont="1" applyFill="1" applyBorder="1" applyAlignment="1">
      <alignment horizontal="center" vertical="center"/>
    </xf>
    <xf numFmtId="0" fontId="21" fillId="14" borderId="35" xfId="6" applyFont="1" applyFill="1" applyBorder="1" applyAlignment="1">
      <alignment horizontal="center" vertical="center"/>
    </xf>
    <xf numFmtId="0" fontId="21" fillId="14" borderId="36" xfId="6" applyFont="1" applyFill="1" applyBorder="1" applyAlignment="1">
      <alignment horizontal="center" vertical="center"/>
    </xf>
    <xf numFmtId="0" fontId="21" fillId="14" borderId="37" xfId="6" applyFont="1" applyFill="1" applyBorder="1" applyAlignment="1">
      <alignment horizontal="center" vertical="center"/>
    </xf>
    <xf numFmtId="0" fontId="21" fillId="14" borderId="38" xfId="6" applyFont="1" applyFill="1" applyBorder="1" applyAlignment="1">
      <alignment horizontal="center" vertical="center"/>
    </xf>
    <xf numFmtId="0" fontId="22" fillId="14" borderId="39" xfId="6" applyFont="1" applyFill="1" applyBorder="1" applyAlignment="1">
      <alignment horizontal="center" vertical="center"/>
    </xf>
    <xf numFmtId="0" fontId="22" fillId="14" borderId="40" xfId="6" applyFont="1" applyFill="1" applyBorder="1" applyAlignment="1">
      <alignment horizontal="center" vertical="center"/>
    </xf>
    <xf numFmtId="0" fontId="22" fillId="14" borderId="32" xfId="6" applyFont="1" applyFill="1" applyBorder="1" applyAlignment="1">
      <alignment horizontal="center"/>
    </xf>
    <xf numFmtId="0" fontId="22" fillId="14" borderId="31" xfId="6" applyFont="1" applyFill="1" applyBorder="1" applyAlignment="1">
      <alignment horizontal="center"/>
    </xf>
    <xf numFmtId="0" fontId="22" fillId="14" borderId="41" xfId="6" applyFont="1" applyFill="1" applyBorder="1" applyAlignment="1">
      <alignment horizontal="center"/>
    </xf>
    <xf numFmtId="0" fontId="22" fillId="14" borderId="45" xfId="6" applyFont="1" applyFill="1" applyBorder="1" applyAlignment="1">
      <alignment horizontal="center" vertical="center"/>
    </xf>
    <xf numFmtId="0" fontId="22" fillId="14" borderId="46" xfId="6" applyFont="1" applyFill="1" applyBorder="1" applyAlignment="1">
      <alignment horizontal="center" vertical="center"/>
    </xf>
    <xf numFmtId="0" fontId="22" fillId="14" borderId="47" xfId="6" applyFont="1" applyFill="1" applyBorder="1" applyAlignment="1">
      <alignment horizontal="center" vertical="center"/>
    </xf>
    <xf numFmtId="0" fontId="22" fillId="14" borderId="49" xfId="6" applyFont="1" applyFill="1" applyBorder="1" applyAlignment="1">
      <alignment horizontal="center" vertical="center"/>
    </xf>
    <xf numFmtId="0" fontId="22" fillId="14" borderId="31" xfId="6" applyFont="1" applyFill="1" applyBorder="1" applyAlignment="1">
      <alignment horizontal="center" vertical="center"/>
    </xf>
    <xf numFmtId="0" fontId="22" fillId="14" borderId="41" xfId="6" applyFont="1" applyFill="1" applyBorder="1" applyAlignment="1">
      <alignment horizontal="center" vertical="center"/>
    </xf>
    <xf numFmtId="0" fontId="24" fillId="14" borderId="48" xfId="6" applyFont="1" applyFill="1" applyBorder="1" applyAlignment="1">
      <alignment horizontal="center"/>
    </xf>
    <xf numFmtId="0" fontId="24" fillId="14" borderId="46" xfId="6" applyFont="1" applyFill="1" applyBorder="1" applyAlignment="1">
      <alignment horizontal="center"/>
    </xf>
    <xf numFmtId="0" fontId="24" fillId="14" borderId="47" xfId="6" applyFont="1" applyFill="1" applyBorder="1" applyAlignment="1">
      <alignment horizontal="center"/>
    </xf>
    <xf numFmtId="0" fontId="24" fillId="14" borderId="50" xfId="6" applyFont="1" applyFill="1" applyBorder="1" applyAlignment="1">
      <alignment horizontal="center"/>
    </xf>
    <xf numFmtId="0" fontId="24" fillId="14" borderId="0" xfId="6" applyFont="1" applyFill="1" applyAlignment="1">
      <alignment horizontal="center"/>
    </xf>
    <xf numFmtId="0" fontId="24" fillId="14" borderId="51" xfId="6" applyFont="1" applyFill="1" applyBorder="1" applyAlignment="1">
      <alignment horizontal="center"/>
    </xf>
    <xf numFmtId="0" fontId="22" fillId="14" borderId="6" xfId="6" applyFont="1" applyFill="1" applyBorder="1" applyAlignment="1">
      <alignment horizontal="center" vertical="center"/>
    </xf>
    <xf numFmtId="184" fontId="22" fillId="14" borderId="6" xfId="6" applyNumberFormat="1" applyFont="1" applyFill="1" applyBorder="1" applyAlignment="1">
      <alignment horizontal="center" vertical="center"/>
    </xf>
    <xf numFmtId="184" fontId="22" fillId="14" borderId="44" xfId="6" applyNumberFormat="1" applyFont="1" applyFill="1" applyBorder="1" applyAlignment="1">
      <alignment horizontal="center" vertical="center"/>
    </xf>
    <xf numFmtId="0" fontId="24" fillId="14" borderId="52" xfId="6" applyFont="1" applyFill="1" applyBorder="1" applyAlignment="1">
      <alignment horizontal="center" vertical="center"/>
    </xf>
    <xf numFmtId="0" fontId="24" fillId="14" borderId="53" xfId="6" applyFont="1" applyFill="1" applyBorder="1" applyAlignment="1">
      <alignment horizontal="center" vertical="center"/>
    </xf>
    <xf numFmtId="0" fontId="24" fillId="14" borderId="54" xfId="6" applyFont="1" applyFill="1" applyBorder="1" applyAlignment="1">
      <alignment horizontal="center" vertical="center"/>
    </xf>
  </cellXfs>
  <cellStyles count="7">
    <cellStyle name="Comma [0]" xfId="3" xr:uid="{00000000-0005-0000-0000-000000000000}"/>
    <cellStyle name="Currency [0]" xfId="4" xr:uid="{00000000-0005-0000-0000-000001000000}"/>
    <cellStyle name="Köprü" xfId="2" builtinId="8"/>
    <cellStyle name="Normal" xfId="0" builtinId="0"/>
    <cellStyle name="Normal 12" xfId="5" xr:uid="{0B81FA49-CDD3-4263-95D4-CBD474CAB5C4}"/>
    <cellStyle name="Normal 3 2" xfId="6" xr:uid="{9D661110-0E5E-4619-AEDA-6EA5CCEA6FAF}"/>
    <cellStyle name="Yüzde" xfId="1" builtinId="5"/>
  </cellStyles>
  <dxfs count="2"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 patternType="solid">
          <bgColor theme="5" tint="0.39988402966399123"/>
        </patternFill>
      </fill>
    </dxf>
  </dxfs>
  <tableStyles count="0" defaultTableStyle="TableStyleMedium9" defaultPivotStyle="PivotStyleLight16"/>
  <colors>
    <mruColors>
      <color rgb="FFFFCC99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croll" dx="15" fmlaLink="$I$22" horiz="1" max="500" page="10" val="5"/>
</file>

<file path=xl/ctrlProps/ctrlProp2.xml><?xml version="1.0" encoding="utf-8"?>
<formControlPr xmlns="http://schemas.microsoft.com/office/spreadsheetml/2009/9/main" objectType="Scroll" dx="15" fmlaLink="$I$29" horiz="1" max="500" page="10" val="0"/>
</file>

<file path=xl/ctrlProps/ctrlProp3.xml><?xml version="1.0" encoding="utf-8"?>
<formControlPr xmlns="http://schemas.microsoft.com/office/spreadsheetml/2009/9/main" objectType="Scroll" dx="15" fmlaLink="$D$22" horiz="1" max="500" page="10" val="0"/>
</file>

<file path=xl/ctrlProps/ctrlProp4.xml><?xml version="1.0" encoding="utf-8"?>
<formControlPr xmlns="http://schemas.microsoft.com/office/spreadsheetml/2009/9/main" objectType="Scroll" dx="15" fmlaLink="$D$23" horiz="1" max="500" page="10" val="0"/>
</file>

<file path=xl/ctrlProps/ctrlProp5.xml><?xml version="1.0" encoding="utf-8"?>
<formControlPr xmlns="http://schemas.microsoft.com/office/spreadsheetml/2009/9/main" objectType="Scroll" dx="15" fmlaLink="$I$25" horiz="1" max="500" page="10" val="15"/>
</file>

<file path=xl/ctrlProps/ctrlProp6.xml><?xml version="1.0" encoding="utf-8"?>
<formControlPr xmlns="http://schemas.microsoft.com/office/spreadsheetml/2009/9/main" objectType="Scroll" dx="15" fmlaLink="$E$22" horiz="1" max="500" page="10" val="30"/>
</file>

<file path=xl/ctrlProps/ctrlProp7.xml><?xml version="1.0" encoding="utf-8"?>
<formControlPr xmlns="http://schemas.microsoft.com/office/spreadsheetml/2009/9/main" objectType="Scroll" dx="15" fmlaLink="$L$3" horiz="1" max="500" page="10" val="0"/>
</file>

<file path=xl/ctrlProps/ctrlProp8.xml><?xml version="1.0" encoding="utf-8"?>
<formControlPr xmlns="http://schemas.microsoft.com/office/spreadsheetml/2009/9/main" objectType="Scroll" dx="15" fmlaLink="$L$6" horiz="1" max="500" page="10" val="0"/>
</file>

<file path=xl/ctrlProps/ctrlProp9.xml><?xml version="1.0" encoding="utf-8"?>
<formControlPr xmlns="http://schemas.microsoft.com/office/spreadsheetml/2009/9/main" objectType="Scroll" dx="15" fmlaLink="$L$7" horiz="1" max="500" page="10" val="0"/>
</file>

<file path=xl/ctrlProps/ctrlProp10.xml><?xml version="1.0" encoding="utf-8"?>
<formControlPr xmlns="http://schemas.microsoft.com/office/spreadsheetml/2009/9/main" objectType="Scroll" dx="15" fmlaLink="$L$8" horiz="1" max="500" page="10" val="0"/>
</file>

<file path=xl/ctrlProps/ctrlProp11.xml><?xml version="1.0" encoding="utf-8"?>
<formControlPr xmlns="http://schemas.microsoft.com/office/spreadsheetml/2009/9/main" objectType="Scroll" dx="15" fmlaLink="$L$9" horiz="1" max="500" page="10" val="0"/>
</file>

<file path=xl/ctrlProps/ctrlProp12.xml><?xml version="1.0" encoding="utf-8"?>
<formControlPr xmlns="http://schemas.microsoft.com/office/spreadsheetml/2009/9/main" objectType="Scroll" dx="15" fmlaLink="$L$10" horiz="1" max="500" page="10" val="0"/>
</file>

<file path=xl/ctrlProps/ctrlProp13.xml><?xml version="1.0" encoding="utf-8"?>
<formControlPr xmlns="http://schemas.microsoft.com/office/spreadsheetml/2009/9/main" objectType="Scroll" dx="15" fmlaLink="$L$5" horiz="1" max="500" page="10" val="0"/>
</file>

<file path=xl/ctrlProps/ctrlProp14.xml><?xml version="1.0" encoding="utf-8"?>
<formControlPr xmlns="http://schemas.microsoft.com/office/spreadsheetml/2009/9/main" objectType="Scroll" dx="15" fmlaLink="$L$4" horiz="1" max="500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21</xdr:row>
          <xdr:rowOff>9525</xdr:rowOff>
        </xdr:from>
        <xdr:to>
          <xdr:col>8</xdr:col>
          <xdr:colOff>590550</xdr:colOff>
          <xdr:row>21</xdr:row>
          <xdr:rowOff>152400</xdr:rowOff>
        </xdr:to>
        <xdr:sp macro="" textlink="">
          <xdr:nvSpPr>
            <xdr:cNvPr id="5126" name="Scroll Bar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1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28</xdr:row>
          <xdr:rowOff>9525</xdr:rowOff>
        </xdr:from>
        <xdr:to>
          <xdr:col>8</xdr:col>
          <xdr:colOff>590550</xdr:colOff>
          <xdr:row>28</xdr:row>
          <xdr:rowOff>152400</xdr:rowOff>
        </xdr:to>
        <xdr:sp macro="" textlink="">
          <xdr:nvSpPr>
            <xdr:cNvPr id="5129" name="Scroll Bar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1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21</xdr:row>
          <xdr:rowOff>9525</xdr:rowOff>
        </xdr:from>
        <xdr:to>
          <xdr:col>3</xdr:col>
          <xdr:colOff>619125</xdr:colOff>
          <xdr:row>21</xdr:row>
          <xdr:rowOff>152400</xdr:rowOff>
        </xdr:to>
        <xdr:sp macro="" textlink="">
          <xdr:nvSpPr>
            <xdr:cNvPr id="5131" name="Scroll Bar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1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22</xdr:row>
          <xdr:rowOff>9525</xdr:rowOff>
        </xdr:from>
        <xdr:to>
          <xdr:col>3</xdr:col>
          <xdr:colOff>619125</xdr:colOff>
          <xdr:row>22</xdr:row>
          <xdr:rowOff>152400</xdr:rowOff>
        </xdr:to>
        <xdr:sp macro="" textlink="">
          <xdr:nvSpPr>
            <xdr:cNvPr id="5132" name="Scroll Bar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1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24</xdr:row>
          <xdr:rowOff>9525</xdr:rowOff>
        </xdr:from>
        <xdr:to>
          <xdr:col>8</xdr:col>
          <xdr:colOff>590550</xdr:colOff>
          <xdr:row>24</xdr:row>
          <xdr:rowOff>152400</xdr:rowOff>
        </xdr:to>
        <xdr:sp macro="" textlink="">
          <xdr:nvSpPr>
            <xdr:cNvPr id="5133" name="Scroll Bar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1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9525</xdr:rowOff>
        </xdr:from>
        <xdr:to>
          <xdr:col>4</xdr:col>
          <xdr:colOff>590550</xdr:colOff>
          <xdr:row>21</xdr:row>
          <xdr:rowOff>152400</xdr:rowOff>
        </xdr:to>
        <xdr:sp macro="" textlink="">
          <xdr:nvSpPr>
            <xdr:cNvPr id="5135" name="Scroll Bar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1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2</xdr:row>
          <xdr:rowOff>9525</xdr:rowOff>
        </xdr:from>
        <xdr:to>
          <xdr:col>10</xdr:col>
          <xdr:colOff>590550</xdr:colOff>
          <xdr:row>2</xdr:row>
          <xdr:rowOff>152400</xdr:rowOff>
        </xdr:to>
        <xdr:sp macro="" textlink="">
          <xdr:nvSpPr>
            <xdr:cNvPr id="5164" name="Scroll Bar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100-00002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5</xdr:row>
          <xdr:rowOff>9525</xdr:rowOff>
        </xdr:from>
        <xdr:to>
          <xdr:col>10</xdr:col>
          <xdr:colOff>590550</xdr:colOff>
          <xdr:row>5</xdr:row>
          <xdr:rowOff>152400</xdr:rowOff>
        </xdr:to>
        <xdr:sp macro="" textlink="">
          <xdr:nvSpPr>
            <xdr:cNvPr id="5165" name="Scroll Bar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100-00002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6</xdr:row>
          <xdr:rowOff>9525</xdr:rowOff>
        </xdr:from>
        <xdr:to>
          <xdr:col>10</xdr:col>
          <xdr:colOff>590550</xdr:colOff>
          <xdr:row>6</xdr:row>
          <xdr:rowOff>152400</xdr:rowOff>
        </xdr:to>
        <xdr:sp macro="" textlink="">
          <xdr:nvSpPr>
            <xdr:cNvPr id="5166" name="Scroll Bar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100-00002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7</xdr:row>
          <xdr:rowOff>9525</xdr:rowOff>
        </xdr:from>
        <xdr:to>
          <xdr:col>10</xdr:col>
          <xdr:colOff>590550</xdr:colOff>
          <xdr:row>7</xdr:row>
          <xdr:rowOff>152400</xdr:rowOff>
        </xdr:to>
        <xdr:sp macro="" textlink="">
          <xdr:nvSpPr>
            <xdr:cNvPr id="5167" name="Scroll Bar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100-00002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8</xdr:row>
          <xdr:rowOff>9525</xdr:rowOff>
        </xdr:from>
        <xdr:to>
          <xdr:col>10</xdr:col>
          <xdr:colOff>590550</xdr:colOff>
          <xdr:row>8</xdr:row>
          <xdr:rowOff>152400</xdr:rowOff>
        </xdr:to>
        <xdr:sp macro="" textlink="">
          <xdr:nvSpPr>
            <xdr:cNvPr id="5168" name="Scroll Bar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100-00003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9</xdr:row>
          <xdr:rowOff>9525</xdr:rowOff>
        </xdr:from>
        <xdr:to>
          <xdr:col>10</xdr:col>
          <xdr:colOff>590550</xdr:colOff>
          <xdr:row>9</xdr:row>
          <xdr:rowOff>152400</xdr:rowOff>
        </xdr:to>
        <xdr:sp macro="" textlink="">
          <xdr:nvSpPr>
            <xdr:cNvPr id="5169" name="Scroll Bar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100-00003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</xdr:row>
          <xdr:rowOff>9525</xdr:rowOff>
        </xdr:from>
        <xdr:to>
          <xdr:col>10</xdr:col>
          <xdr:colOff>590550</xdr:colOff>
          <xdr:row>4</xdr:row>
          <xdr:rowOff>152400</xdr:rowOff>
        </xdr:to>
        <xdr:sp macro="" textlink="">
          <xdr:nvSpPr>
            <xdr:cNvPr id="5170" name="Scroll Bar 50" hidden="1">
              <a:extLst>
                <a:ext uri="{63B3BB69-23CF-44E3-9099-C40C66FF867C}">
                  <a14:compatExt spid="_x0000_s5170"/>
                </a:ext>
                <a:ext uri="{FF2B5EF4-FFF2-40B4-BE49-F238E27FC236}">
                  <a16:creationId xmlns:a16="http://schemas.microsoft.com/office/drawing/2014/main" id="{00000000-0008-0000-0100-00003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</xdr:row>
          <xdr:rowOff>9525</xdr:rowOff>
        </xdr:from>
        <xdr:to>
          <xdr:col>10</xdr:col>
          <xdr:colOff>590550</xdr:colOff>
          <xdr:row>3</xdr:row>
          <xdr:rowOff>152400</xdr:rowOff>
        </xdr:to>
        <xdr:sp macro="" textlink="">
          <xdr:nvSpPr>
            <xdr:cNvPr id="5171" name="Scroll Bar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100-00003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7780-FD40-4F08-B92E-37FC9FA0B19F}">
  <sheetPr codeName="Sayfa3"/>
  <dimension ref="A1:B21"/>
  <sheetViews>
    <sheetView showGridLines="0" workbookViewId="0"/>
  </sheetViews>
  <sheetFormatPr defaultRowHeight="12.6" customHeight="1" x14ac:dyDescent="0.25"/>
  <cols>
    <col min="1" max="1" width="8.5703125" customWidth="1"/>
    <col min="2" max="2" width="55.5703125" style="121" customWidth="1"/>
  </cols>
  <sheetData>
    <row r="1" spans="1:2" ht="18" customHeight="1" x14ac:dyDescent="0.25">
      <c r="A1" s="13" t="s">
        <v>109</v>
      </c>
      <c r="B1" s="120" t="s">
        <v>88</v>
      </c>
    </row>
    <row r="2" spans="1:2" ht="12.6" customHeight="1" x14ac:dyDescent="0.25">
      <c r="A2" t="s">
        <v>89</v>
      </c>
    </row>
    <row r="3" spans="1:2" ht="12.6" customHeight="1" x14ac:dyDescent="0.25">
      <c r="A3" t="s">
        <v>90</v>
      </c>
    </row>
    <row r="4" spans="1:2" ht="12.6" customHeight="1" x14ac:dyDescent="0.25">
      <c r="A4" t="s">
        <v>91</v>
      </c>
    </row>
    <row r="5" spans="1:2" ht="12.6" customHeight="1" x14ac:dyDescent="0.25">
      <c r="A5" t="s">
        <v>92</v>
      </c>
    </row>
    <row r="6" spans="1:2" ht="12.6" customHeight="1" x14ac:dyDescent="0.25">
      <c r="A6" t="s">
        <v>93</v>
      </c>
    </row>
    <row r="7" spans="1:2" ht="12.6" customHeight="1" x14ac:dyDescent="0.25">
      <c r="A7" t="s">
        <v>94</v>
      </c>
    </row>
    <row r="8" spans="1:2" ht="12.6" customHeight="1" x14ac:dyDescent="0.25">
      <c r="A8" t="s">
        <v>95</v>
      </c>
    </row>
    <row r="9" spans="1:2" ht="12.6" customHeight="1" x14ac:dyDescent="0.25">
      <c r="A9" t="s">
        <v>96</v>
      </c>
    </row>
    <row r="10" spans="1:2" ht="12.6" customHeight="1" x14ac:dyDescent="0.25">
      <c r="A10" t="s">
        <v>97</v>
      </c>
    </row>
    <row r="11" spans="1:2" ht="12.6" customHeight="1" x14ac:dyDescent="0.25">
      <c r="A11" t="s">
        <v>98</v>
      </c>
    </row>
    <row r="12" spans="1:2" ht="12.6" customHeight="1" x14ac:dyDescent="0.25">
      <c r="A12" t="s">
        <v>99</v>
      </c>
    </row>
    <row r="13" spans="1:2" ht="12.6" customHeight="1" x14ac:dyDescent="0.25">
      <c r="A13" t="s">
        <v>100</v>
      </c>
    </row>
    <row r="14" spans="1:2" ht="12.6" customHeight="1" x14ac:dyDescent="0.25">
      <c r="A14" t="s">
        <v>101</v>
      </c>
    </row>
    <row r="15" spans="1:2" ht="12.6" customHeight="1" x14ac:dyDescent="0.25">
      <c r="A15" t="s">
        <v>102</v>
      </c>
    </row>
    <row r="16" spans="1:2" ht="12.6" customHeight="1" x14ac:dyDescent="0.25">
      <c r="A16" t="s">
        <v>103</v>
      </c>
    </row>
    <row r="17" spans="1:1" ht="12.6" customHeight="1" x14ac:dyDescent="0.25">
      <c r="A17" t="s">
        <v>104</v>
      </c>
    </row>
    <row r="18" spans="1:1" ht="12.6" customHeight="1" x14ac:dyDescent="0.25">
      <c r="A18" t="s">
        <v>105</v>
      </c>
    </row>
    <row r="19" spans="1:1" ht="12.6" customHeight="1" x14ac:dyDescent="0.25">
      <c r="A19" t="s">
        <v>106</v>
      </c>
    </row>
    <row r="20" spans="1:1" ht="12.6" customHeight="1" x14ac:dyDescent="0.25">
      <c r="A20" t="s">
        <v>107</v>
      </c>
    </row>
    <row r="21" spans="1:1" ht="12.6" customHeight="1" x14ac:dyDescent="0.25">
      <c r="A21" t="s">
        <v>108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7C23-A012-4B25-9850-0E4A32B97346}">
  <sheetPr codeName="Sayfa2">
    <pageSetUpPr fitToPage="1"/>
  </sheetPr>
  <dimension ref="B1:Q55555"/>
  <sheetViews>
    <sheetView showGridLines="0" showRowColHeaders="0" tabSelected="1" zoomScaleNormal="100" workbookViewId="0">
      <selection activeCell="H19" sqref="H19"/>
    </sheetView>
  </sheetViews>
  <sheetFormatPr defaultColWidth="9.140625" defaultRowHeight="12.6" customHeight="1" x14ac:dyDescent="0.25"/>
  <cols>
    <col min="1" max="1" width="5.140625" customWidth="1"/>
    <col min="2" max="2" width="26.28515625" customWidth="1"/>
    <col min="3" max="3" width="15.28515625" style="2" customWidth="1"/>
    <col min="4" max="4" width="15.140625" style="2" customWidth="1"/>
    <col min="5" max="5" width="14.85546875" style="46" customWidth="1"/>
    <col min="6" max="6" width="15.5703125" style="2" customWidth="1"/>
    <col min="7" max="7" width="2.42578125" style="2" customWidth="1"/>
    <col min="8" max="8" width="26.28515625" style="2" customWidth="1"/>
    <col min="9" max="9" width="14.7109375" style="2" customWidth="1"/>
    <col min="10" max="10" width="13.7109375" style="2" customWidth="1"/>
    <col min="11" max="11" width="8.7109375" style="2" customWidth="1"/>
    <col min="12" max="12" width="9.7109375" style="2" customWidth="1"/>
    <col min="13" max="13" width="18.7109375" style="2" customWidth="1"/>
    <col min="14" max="14" width="16.7109375" customWidth="1"/>
    <col min="15" max="15" width="18.28515625" customWidth="1"/>
  </cols>
  <sheetData>
    <row r="1" spans="2:17" s="11" customFormat="1" ht="26.45" customHeight="1" x14ac:dyDescent="0.4">
      <c r="B1" s="23" t="s">
        <v>115</v>
      </c>
      <c r="C1" s="12"/>
      <c r="D1" s="12"/>
      <c r="E1" s="24"/>
      <c r="O1" s="9"/>
    </row>
    <row r="2" spans="2:17" ht="12.6" customHeight="1" x14ac:dyDescent="0.25">
      <c r="B2" s="25" t="s">
        <v>22</v>
      </c>
      <c r="C2" s="26"/>
      <c r="D2" s="26"/>
      <c r="E2" s="27"/>
      <c r="F2" s="28"/>
      <c r="G2" s="29"/>
      <c r="H2" s="25" t="s">
        <v>87</v>
      </c>
      <c r="I2" s="27" t="s">
        <v>35</v>
      </c>
      <c r="J2" s="27" t="s">
        <v>36</v>
      </c>
      <c r="K2" s="27"/>
      <c r="L2" s="27" t="s">
        <v>60</v>
      </c>
      <c r="M2" s="89" t="s">
        <v>65</v>
      </c>
      <c r="O2" s="9"/>
      <c r="Q2" s="30"/>
    </row>
    <row r="3" spans="2:17" ht="12.6" customHeight="1" x14ac:dyDescent="0.25">
      <c r="B3" s="47" t="s">
        <v>24</v>
      </c>
      <c r="C3" s="31"/>
      <c r="D3" s="53"/>
      <c r="E3" s="37"/>
      <c r="F3" s="54"/>
      <c r="G3" s="32"/>
      <c r="H3" s="110" t="s">
        <v>111</v>
      </c>
      <c r="I3" s="64">
        <f>SUMIF(Sayfa1!A:A,"=PP-*",Sayfa1!O:O)</f>
        <v>0</v>
      </c>
      <c r="J3" s="64">
        <f>SUMIF(Sayfa1!A:A,"=PP-*",Sayfa1!P:P)</f>
        <v>0</v>
      </c>
      <c r="K3" s="64"/>
      <c r="L3" s="42">
        <v>0</v>
      </c>
      <c r="M3" s="95">
        <f>SUMIF(Sayfa1!A:A,"=PP-*",Sayfa1!R:R)</f>
        <v>0</v>
      </c>
      <c r="O3" s="9"/>
      <c r="Q3" s="30"/>
    </row>
    <row r="4" spans="2:17" ht="12.6" customHeight="1" x14ac:dyDescent="0.25">
      <c r="B4" s="47" t="s">
        <v>27</v>
      </c>
      <c r="C4" s="31"/>
      <c r="D4" s="53"/>
      <c r="E4" s="37"/>
      <c r="F4" s="54"/>
      <c r="G4" s="32"/>
      <c r="H4" s="110" t="s">
        <v>113</v>
      </c>
      <c r="I4" s="64">
        <f>SUMIF(Sayfa1!A:A,"=PS-*",Sayfa1!O:O)</f>
        <v>0</v>
      </c>
      <c r="J4" s="64">
        <f>SUMIF(Sayfa1!A:A,"=PS-*",Sayfa1!P:P)</f>
        <v>0</v>
      </c>
      <c r="K4" s="64"/>
      <c r="L4" s="42">
        <v>0</v>
      </c>
      <c r="M4" s="95">
        <f>SUMIF(Sayfa1!A:A,"=PS-*",Sayfa1!R:R)</f>
        <v>0</v>
      </c>
      <c r="O4" s="9"/>
      <c r="Q4" s="30"/>
    </row>
    <row r="5" spans="2:17" ht="12.6" customHeight="1" x14ac:dyDescent="0.25">
      <c r="B5" s="47" t="s">
        <v>29</v>
      </c>
      <c r="C5" s="31"/>
      <c r="D5" s="31"/>
      <c r="E5" s="37"/>
      <c r="F5" s="55"/>
      <c r="G5" s="32"/>
      <c r="H5" s="110" t="s">
        <v>71</v>
      </c>
      <c r="I5" s="64">
        <f>SUM(Sayfa1!O:O)-(SUMIF(Sayfa1!A:A,"=P?-*",Sayfa1!O:O))</f>
        <v>0</v>
      </c>
      <c r="J5" s="64">
        <f>SUM(Sayfa1!P:P)-SUMIF(Sayfa1!A:A,"=P?-*",Sayfa1!P:P)</f>
        <v>0</v>
      </c>
      <c r="K5" s="64"/>
      <c r="L5" s="42">
        <v>0</v>
      </c>
      <c r="M5" s="95">
        <f>SUM(Sayfa1!R:R)-SUMIF(Sayfa1!A:A,"=P?-*",Sayfa1!R:R)</f>
        <v>0</v>
      </c>
      <c r="O5" s="9"/>
      <c r="Q5" s="30"/>
    </row>
    <row r="6" spans="2:17" ht="12.6" customHeight="1" x14ac:dyDescent="0.25">
      <c r="B6" s="48" t="s">
        <v>30</v>
      </c>
      <c r="C6" s="35"/>
      <c r="D6" s="35"/>
      <c r="E6" s="56"/>
      <c r="F6" s="57"/>
      <c r="G6" s="32"/>
      <c r="H6" s="110" t="s">
        <v>72</v>
      </c>
      <c r="I6" s="64">
        <f>SUMIF(Sayfa1!A:A,"=PM-MS*",Sayfa1!O:O)</f>
        <v>0</v>
      </c>
      <c r="J6" s="64">
        <f>SUMIF(Sayfa1!A:A,"=PM-MS*",Sayfa1!P:P)</f>
        <v>0</v>
      </c>
      <c r="K6" s="64"/>
      <c r="L6" s="42">
        <v>0</v>
      </c>
      <c r="M6" s="95">
        <f>SUMIF(Sayfa1!A:A,"=PM-MS*",Sayfa1!R:R)</f>
        <v>0</v>
      </c>
      <c r="O6" s="9"/>
      <c r="Q6" s="30"/>
    </row>
    <row r="7" spans="2:17" ht="12.6" customHeight="1" x14ac:dyDescent="0.25">
      <c r="B7" s="47" t="s">
        <v>31</v>
      </c>
      <c r="C7" s="31" t="s">
        <v>118</v>
      </c>
      <c r="D7" s="31"/>
      <c r="E7" s="37"/>
      <c r="F7" s="54"/>
      <c r="G7" s="32"/>
      <c r="H7" s="110" t="s">
        <v>46</v>
      </c>
      <c r="I7" s="64">
        <f>SUMIF(Sayfa1!A:A,"=PM-MB*",Sayfa1!O:O)</f>
        <v>0</v>
      </c>
      <c r="J7" s="64">
        <f>SUMIF(Sayfa1!A:A,"=PM-MB*",Sayfa1!P:P)</f>
        <v>0</v>
      </c>
      <c r="K7" s="64"/>
      <c r="L7" s="42">
        <v>0</v>
      </c>
      <c r="M7" s="95">
        <f>SUMIF(Sayfa1!A:A,"=PM-MB*",Sayfa1!R:R)</f>
        <v>0</v>
      </c>
      <c r="O7" s="9"/>
      <c r="Q7" s="30"/>
    </row>
    <row r="8" spans="2:17" ht="12.6" customHeight="1" x14ac:dyDescent="0.25">
      <c r="B8" s="47" t="s">
        <v>33</v>
      </c>
      <c r="C8" s="31" t="s">
        <v>119</v>
      </c>
      <c r="D8" s="31"/>
      <c r="E8" s="37"/>
      <c r="F8" s="54"/>
      <c r="G8" s="32"/>
      <c r="H8" s="110" t="s">
        <v>73</v>
      </c>
      <c r="I8" s="64">
        <f>SUMIF(Sayfa1!A:A,"=PM-MP*",Sayfa1!P:P)+SUM(Sayfa1!Q:Q)</f>
        <v>0</v>
      </c>
      <c r="J8" s="64">
        <f>SUMIF(Sayfa1!A:A,"=PM-MP*",Sayfa1!P:P)+SUM(Sayfa1!Q:Q)</f>
        <v>0</v>
      </c>
      <c r="K8" s="64"/>
      <c r="L8" s="42">
        <v>0</v>
      </c>
      <c r="M8" s="95">
        <f>SUMIF(Sayfa1!A:A,"=PM-MP*",Sayfa1!R:R)+SUM(Sayfa1!S:S)</f>
        <v>0</v>
      </c>
      <c r="O8" s="9"/>
      <c r="Q8" s="30"/>
    </row>
    <row r="9" spans="2:17" ht="12.6" customHeight="1" x14ac:dyDescent="0.25">
      <c r="B9" s="48" t="s">
        <v>23</v>
      </c>
      <c r="C9" s="58"/>
      <c r="D9" s="58"/>
      <c r="E9" s="56"/>
      <c r="F9" s="57" t="s">
        <v>34</v>
      </c>
      <c r="G9" s="32"/>
      <c r="H9" s="110" t="s">
        <v>52</v>
      </c>
      <c r="I9" s="64">
        <f>SUMIF(Sayfa1!A:A,"=PM-MA*",Sayfa1!O:O)</f>
        <v>0</v>
      </c>
      <c r="J9" s="64">
        <f>SUMIF(Sayfa1!A:A,"=PM-MA*",Sayfa1!P:P)</f>
        <v>0</v>
      </c>
      <c r="K9" s="64"/>
      <c r="L9" s="42">
        <v>0</v>
      </c>
      <c r="M9" s="95">
        <f>SUMIF(Sayfa1!A:A,"=PM-MA*",Sayfa1!R:R)</f>
        <v>0</v>
      </c>
      <c r="O9" s="9"/>
      <c r="Q9" s="30"/>
    </row>
    <row r="10" spans="2:17" ht="12.6" customHeight="1" x14ac:dyDescent="0.25">
      <c r="B10" s="47" t="s">
        <v>26</v>
      </c>
      <c r="C10" s="31" t="s">
        <v>155</v>
      </c>
      <c r="D10" s="53"/>
      <c r="E10" s="37"/>
      <c r="F10" s="51" t="s">
        <v>66</v>
      </c>
      <c r="G10" s="32"/>
      <c r="H10" s="110" t="s">
        <v>67</v>
      </c>
      <c r="I10" s="64">
        <f>SUMIF(Sayfa1!A:A,"=PM-MN*",Sayfa1!O:O)</f>
        <v>0</v>
      </c>
      <c r="J10" s="64">
        <f>SUMIF(Sayfa1!A:A,"=PM-MN*",Sayfa1!P:P)</f>
        <v>0</v>
      </c>
      <c r="K10" s="64"/>
      <c r="L10" s="42">
        <v>0</v>
      </c>
      <c r="M10" s="95">
        <f>SUMIF(Sayfa1!A:A,"=PM-MN*",Sayfa1!R:R)</f>
        <v>0</v>
      </c>
      <c r="O10" s="9"/>
      <c r="Q10" s="30"/>
    </row>
    <row r="11" spans="2:17" ht="12.6" customHeight="1" x14ac:dyDescent="0.25">
      <c r="B11" s="47" t="s">
        <v>28</v>
      </c>
      <c r="C11" s="31"/>
      <c r="D11" s="59"/>
      <c r="E11" s="60"/>
      <c r="F11" s="51"/>
      <c r="G11" s="32"/>
      <c r="H11" s="96" t="s">
        <v>82</v>
      </c>
      <c r="I11" s="97"/>
      <c r="J11" s="97"/>
      <c r="K11" s="97"/>
      <c r="L11" s="98"/>
      <c r="M11" s="99">
        <f>SUM(M3:M10)</f>
        <v>0</v>
      </c>
      <c r="O11" s="9"/>
      <c r="Q11" s="30"/>
    </row>
    <row r="12" spans="2:17" ht="12.6" customHeight="1" x14ac:dyDescent="0.25">
      <c r="B12" s="47" t="s">
        <v>50</v>
      </c>
      <c r="C12" s="31" t="s">
        <v>25</v>
      </c>
      <c r="D12" s="59" t="s">
        <v>25</v>
      </c>
      <c r="E12" s="60"/>
      <c r="F12" s="51" t="s">
        <v>25</v>
      </c>
      <c r="G12" s="32"/>
      <c r="M12"/>
      <c r="O12" s="9"/>
      <c r="Q12" s="30"/>
    </row>
    <row r="13" spans="2:17" ht="12.6" customHeight="1" x14ac:dyDescent="0.25">
      <c r="B13" s="49" t="s">
        <v>32</v>
      </c>
      <c r="C13" s="52" t="s">
        <v>25</v>
      </c>
      <c r="D13" s="61"/>
      <c r="E13" s="62"/>
      <c r="F13" s="63"/>
      <c r="G13" s="32"/>
      <c r="H13" s="25" t="s">
        <v>74</v>
      </c>
      <c r="I13" s="27" t="s">
        <v>70</v>
      </c>
      <c r="J13" s="27" t="s">
        <v>43</v>
      </c>
      <c r="K13" s="27"/>
      <c r="L13" s="27" t="s">
        <v>110</v>
      </c>
      <c r="M13" s="89" t="s">
        <v>36</v>
      </c>
      <c r="Q13" s="30"/>
    </row>
    <row r="14" spans="2:17" ht="12.6" customHeight="1" x14ac:dyDescent="0.25">
      <c r="B14" s="38"/>
      <c r="C14" s="38"/>
      <c r="D14" s="39"/>
      <c r="E14" s="40"/>
      <c r="F14" s="39"/>
      <c r="G14" s="32"/>
      <c r="H14" s="111" t="s">
        <v>44</v>
      </c>
      <c r="I14" s="84">
        <f>SUMIF(Sayfa1!A:A,"=PP-*",Sayfa1!E:E)</f>
        <v>0</v>
      </c>
      <c r="J14" s="85">
        <f t="shared" ref="J14:J21" si="0">IF($I$14&gt;0,J3/$I$14,0)</f>
        <v>0</v>
      </c>
      <c r="K14" s="128">
        <f>IF(M14&gt;0,M14/($M$24+M25+$M$23),0)</f>
        <v>0</v>
      </c>
      <c r="L14" s="129"/>
      <c r="M14" s="95">
        <f>SUMIF(Sayfa1!A:A,"=PP-*",Sayfa1!P:P)</f>
        <v>0</v>
      </c>
    </row>
    <row r="15" spans="2:17" ht="12.6" customHeight="1" x14ac:dyDescent="0.25">
      <c r="B15" s="65" t="s">
        <v>75</v>
      </c>
      <c r="C15" s="66"/>
      <c r="D15" s="148" t="s">
        <v>37</v>
      </c>
      <c r="E15" s="148" t="s">
        <v>116</v>
      </c>
      <c r="F15" s="150" t="s">
        <v>117</v>
      </c>
      <c r="G15" s="29"/>
      <c r="H15" s="111" t="s">
        <v>112</v>
      </c>
      <c r="I15" s="86"/>
      <c r="J15" s="85">
        <f t="shared" si="0"/>
        <v>0</v>
      </c>
      <c r="K15" s="128">
        <f>IF(M15&gt;0,M15/($M$24++M24+$M$23),0)</f>
        <v>0</v>
      </c>
      <c r="L15" s="129"/>
      <c r="M15" s="95">
        <f>SUMIF(Sayfa1!A:A,"=PS-*",Sayfa1!P:P)</f>
        <v>0</v>
      </c>
    </row>
    <row r="16" spans="2:17" ht="12.6" customHeight="1" x14ac:dyDescent="0.25">
      <c r="B16" s="33" t="s">
        <v>156</v>
      </c>
      <c r="C16" s="145"/>
      <c r="D16" s="169">
        <v>43.623399999999997</v>
      </c>
      <c r="E16" s="149" t="str">
        <f>MID(Tpbr,20,5)</f>
        <v>(USD)</v>
      </c>
      <c r="F16" s="146">
        <v>43.623399999999997</v>
      </c>
      <c r="G16" s="41"/>
      <c r="H16" s="111" t="s">
        <v>45</v>
      </c>
      <c r="I16" s="86"/>
      <c r="J16" s="85">
        <f t="shared" si="0"/>
        <v>0</v>
      </c>
      <c r="K16" s="128">
        <f>IF(M16&gt;0,M16/($M$24++M25+$M$23),0)</f>
        <v>0</v>
      </c>
      <c r="L16" s="129"/>
      <c r="M16" s="95">
        <f>SUM(Sayfa1!P:P)-SUMIF(Sayfa1!A:A,"=P?-*",Sayfa1!P:P)</f>
        <v>0</v>
      </c>
    </row>
    <row r="17" spans="2:17" ht="12.6" customHeight="1" x14ac:dyDescent="0.25">
      <c r="B17" s="50" t="s">
        <v>38</v>
      </c>
      <c r="C17" s="113">
        <v>75</v>
      </c>
      <c r="D17" s="170">
        <v>51.946800000000003</v>
      </c>
      <c r="E17" s="144"/>
      <c r="F17" s="147"/>
      <c r="G17" s="41"/>
      <c r="H17" s="111" t="s">
        <v>51</v>
      </c>
      <c r="I17" s="86"/>
      <c r="J17" s="85">
        <f t="shared" si="0"/>
        <v>0</v>
      </c>
      <c r="K17" s="128">
        <f>IF(M17&gt;0,M17/($M$24+M25+$M$23),0)</f>
        <v>0</v>
      </c>
      <c r="L17" s="129"/>
      <c r="M17" s="95">
        <f>SUMIF(Sayfa1!A:A,"=PM-MS*",Sayfa1!P:P)</f>
        <v>0</v>
      </c>
    </row>
    <row r="18" spans="2:17" ht="12.6" customHeight="1" x14ac:dyDescent="0.25">
      <c r="B18" s="68" t="s">
        <v>76</v>
      </c>
      <c r="C18" s="81">
        <f>SUM(Sayfa1!T:T)+IF(Ads&lt;&gt;"-",SUMIF(Sayfa1!A:A,"=PM-MP*",Sayfa1!P:P)/Ads,0)</f>
        <v>0</v>
      </c>
      <c r="D18" s="80" t="s">
        <v>81</v>
      </c>
      <c r="E18" s="80"/>
      <c r="F18" s="82" t="str">
        <f>CkarO</f>
        <v>Net Fiyatı</v>
      </c>
      <c r="G18" s="41"/>
      <c r="H18" s="111" t="s">
        <v>46</v>
      </c>
      <c r="I18" s="87">
        <f>SUMIF(Sayfa1!A:A,"=PM-MB*",Sayfa1!E:E)</f>
        <v>0</v>
      </c>
      <c r="J18" s="85">
        <f t="shared" si="0"/>
        <v>0</v>
      </c>
      <c r="K18" s="128">
        <f>IF(M18&gt;0,M18/($M$24+M25+$M$23),0)</f>
        <v>0</v>
      </c>
      <c r="L18" s="129"/>
      <c r="M18" s="95">
        <f>SUMIF(Sayfa1!A:A,"=PM-MB*",Sayfa1!P:P)</f>
        <v>0</v>
      </c>
    </row>
    <row r="19" spans="2:17" ht="12.6" customHeight="1" x14ac:dyDescent="0.25">
      <c r="G19" s="41"/>
      <c r="H19" s="111" t="s">
        <v>61</v>
      </c>
      <c r="I19" s="88">
        <f>SUM(Sayfa1!T:T)+IF(Ads&lt;&gt;"-",SUMIF(Sayfa1!A:A,"=PM-MP*",Sayfa1!P:P)/Ads,0)</f>
        <v>0</v>
      </c>
      <c r="J19" s="85">
        <f t="shared" si="0"/>
        <v>0</v>
      </c>
      <c r="K19" s="128">
        <f>IF(M19&gt;0,M19/($M$24+M25+$M$23),0)</f>
        <v>0</v>
      </c>
      <c r="L19" s="129"/>
      <c r="M19" s="95">
        <f>SUMIF(Sayfa1!A:A,"=PM-MP*",Sayfa1!P:P)+SUM(Sayfa1!Q:Q)</f>
        <v>0</v>
      </c>
    </row>
    <row r="20" spans="2:17" ht="12.6" customHeight="1" x14ac:dyDescent="0.25">
      <c r="B20" s="69" t="s">
        <v>39</v>
      </c>
      <c r="C20" s="66"/>
      <c r="D20" s="66" t="s">
        <v>40</v>
      </c>
      <c r="E20" s="66" t="s">
        <v>41</v>
      </c>
      <c r="F20" s="67" t="s">
        <v>42</v>
      </c>
      <c r="G20" s="41"/>
      <c r="H20" s="111" t="s">
        <v>52</v>
      </c>
      <c r="I20" s="86"/>
      <c r="J20" s="85">
        <f t="shared" si="0"/>
        <v>0</v>
      </c>
      <c r="K20" s="128">
        <f>IF(M20&gt;0,M20/($M$24+M25+$M$23),0)</f>
        <v>0</v>
      </c>
      <c r="L20" s="129"/>
      <c r="M20" s="95">
        <f>SUMIF(Sayfa1!A:A,"=PM-MA*",Sayfa1!P:P)</f>
        <v>0</v>
      </c>
    </row>
    <row r="21" spans="2:17" ht="12.6" customHeight="1" x14ac:dyDescent="0.25">
      <c r="B21" s="71" t="s">
        <v>69</v>
      </c>
      <c r="C21" s="34">
        <v>0</v>
      </c>
      <c r="D21" s="75"/>
      <c r="E21" s="76"/>
      <c r="F21" s="93">
        <f>M31</f>
        <v>0</v>
      </c>
      <c r="G21" s="41"/>
      <c r="H21" s="111" t="s">
        <v>67</v>
      </c>
      <c r="I21" s="86"/>
      <c r="J21" s="85">
        <f t="shared" si="0"/>
        <v>0</v>
      </c>
      <c r="K21" s="128">
        <f>IF(M21&gt;0,M21/($M$24+M25+$M$23),0)</f>
        <v>0</v>
      </c>
      <c r="L21" s="129"/>
      <c r="M21" s="95">
        <f>SUMIF(Sayfa1!A:A,"=PM-MN*",Sayfa1!P:P)</f>
        <v>0</v>
      </c>
      <c r="Q21" s="30"/>
    </row>
    <row r="22" spans="2:17" ht="12.6" customHeight="1" x14ac:dyDescent="0.25">
      <c r="B22" s="77" t="s">
        <v>55</v>
      </c>
      <c r="C22" s="116"/>
      <c r="D22" s="115">
        <v>0</v>
      </c>
      <c r="E22" s="114">
        <v>30</v>
      </c>
      <c r="F22" s="36">
        <f>M31*E22/100</f>
        <v>0</v>
      </c>
      <c r="G22" s="41"/>
      <c r="H22" s="111" t="s">
        <v>68</v>
      </c>
      <c r="I22" s="90">
        <v>5</v>
      </c>
      <c r="J22" s="85">
        <f>IF($I$14&gt;0,M22/$I$14,0)</f>
        <v>0</v>
      </c>
      <c r="K22" s="128">
        <f>IF(M22&gt;0,M22/($M$24+M25+$M$23),0)</f>
        <v>0</v>
      </c>
      <c r="L22" s="129"/>
      <c r="M22" s="95">
        <f>SUM(Sayfa1!U:U)</f>
        <v>0</v>
      </c>
      <c r="Q22" s="30"/>
    </row>
    <row r="23" spans="2:17" ht="12.6" customHeight="1" x14ac:dyDescent="0.25">
      <c r="B23" s="78" t="s">
        <v>56</v>
      </c>
      <c r="C23" s="117"/>
      <c r="D23" s="115">
        <v>0</v>
      </c>
      <c r="E23" s="114">
        <f>100-E22</f>
        <v>70</v>
      </c>
      <c r="F23" s="79">
        <f>M31*E23/100</f>
        <v>0</v>
      </c>
      <c r="G23" s="41"/>
      <c r="H23" s="100" t="s">
        <v>47</v>
      </c>
      <c r="I23" s="91"/>
      <c r="J23" s="92"/>
      <c r="K23" s="131">
        <f>IF(M23&gt;0,M23/(M26),0)</f>
        <v>0</v>
      </c>
      <c r="L23" s="132"/>
      <c r="M23" s="101">
        <f>SUM(M14:M22)</f>
        <v>0</v>
      </c>
    </row>
    <row r="24" spans="2:17" ht="12.6" customHeight="1" x14ac:dyDescent="0.25">
      <c r="G24" s="41"/>
      <c r="H24" s="111" t="s">
        <v>86</v>
      </c>
      <c r="I24" s="122">
        <f>IF(M24&gt;0,M24/(M23),0)</f>
        <v>0</v>
      </c>
      <c r="J24" s="116"/>
      <c r="K24" s="130">
        <f>IF(M26&gt;0,M24/($M$26),0)</f>
        <v>0</v>
      </c>
      <c r="L24" s="129"/>
      <c r="M24" s="107">
        <f>M11</f>
        <v>0</v>
      </c>
      <c r="Q24" s="30"/>
    </row>
    <row r="25" spans="2:17" ht="12.6" customHeight="1" x14ac:dyDescent="0.25">
      <c r="B25" s="65" t="s">
        <v>114</v>
      </c>
      <c r="C25" s="119"/>
      <c r="D25" s="119"/>
      <c r="E25" s="142"/>
      <c r="F25" s="70"/>
      <c r="G25" s="41"/>
      <c r="H25" s="111" t="s">
        <v>85</v>
      </c>
      <c r="I25" s="94">
        <v>15</v>
      </c>
      <c r="J25" s="116"/>
      <c r="K25" s="130">
        <f>IF(M25&gt;0,M25/($M$26),0)</f>
        <v>0</v>
      </c>
      <c r="L25" s="129"/>
      <c r="M25" s="107">
        <f>SUM(M11+M23)*DkarO/100</f>
        <v>0</v>
      </c>
      <c r="Q25" s="30"/>
    </row>
    <row r="26" spans="2:17" ht="13.15" customHeight="1" x14ac:dyDescent="0.25">
      <c r="B26" s="143" t="str">
        <f>"Toplam Pano: "&amp;SUMIF(Sayfa1!A:A,"=PP-*",Sayfa1!E:E)&amp;""&amp;" Adet"</f>
        <v>Toplam Pano: 0 Adet</v>
      </c>
      <c r="C26" s="133"/>
      <c r="D26" s="134"/>
      <c r="E26" s="135"/>
      <c r="F26" s="74"/>
      <c r="G26" s="41"/>
      <c r="H26" s="102" t="s">
        <v>62</v>
      </c>
      <c r="I26" s="103"/>
      <c r="J26" s="104"/>
      <c r="K26" s="104"/>
      <c r="L26" s="105"/>
      <c r="M26" s="106">
        <f>SUM(M23:M25)</f>
        <v>0</v>
      </c>
      <c r="Q26" s="30"/>
    </row>
    <row r="27" spans="2:17" ht="12.6" customHeight="1" x14ac:dyDescent="0.25">
      <c r="B27" s="65" t="s">
        <v>77</v>
      </c>
      <c r="C27" s="119"/>
      <c r="D27" s="119"/>
      <c r="E27" s="142"/>
      <c r="F27" s="70"/>
      <c r="G27" s="41"/>
      <c r="O27" s="43"/>
      <c r="Q27" s="30"/>
    </row>
    <row r="28" spans="2:17" ht="12.6" customHeight="1" x14ac:dyDescent="0.25">
      <c r="B28" s="72" t="s">
        <v>57</v>
      </c>
      <c r="C28" s="133"/>
      <c r="D28" s="134">
        <v>10</v>
      </c>
      <c r="E28" s="135"/>
      <c r="F28" s="74"/>
      <c r="G28" s="41"/>
      <c r="H28" s="25" t="s">
        <v>63</v>
      </c>
      <c r="I28" s="27" t="s">
        <v>60</v>
      </c>
      <c r="J28" s="27" t="s">
        <v>83</v>
      </c>
      <c r="K28" s="27"/>
      <c r="L28" s="27"/>
      <c r="M28" s="89" t="s">
        <v>84</v>
      </c>
      <c r="O28" s="43"/>
      <c r="Q28" s="30"/>
    </row>
    <row r="29" spans="2:17" ht="12.6" customHeight="1" x14ac:dyDescent="0.25">
      <c r="B29" s="72" t="s">
        <v>78</v>
      </c>
      <c r="C29" s="73">
        <f>SUM(Sayfa1!T:T)+IF(Ads&lt;&gt;"-",SUMIF(Sayfa1!A:A,"=PM-MP*",Sayfa1!P:P)/Ads,0)</f>
        <v>0</v>
      </c>
      <c r="D29" s="136">
        <f>I19*26/208/F29*1.05</f>
        <v>0</v>
      </c>
      <c r="E29" s="137"/>
      <c r="F29" s="138">
        <v>4</v>
      </c>
      <c r="G29" s="41"/>
      <c r="H29" s="93" t="s">
        <v>64</v>
      </c>
      <c r="I29" s="112">
        <v>0</v>
      </c>
      <c r="J29" s="118">
        <f>IF(DiskO=0,0,M26*DiskO/100)</f>
        <v>0</v>
      </c>
      <c r="K29" s="124"/>
      <c r="L29" s="125"/>
      <c r="M29" s="186">
        <f>IF(I29=0,,M26-J29)</f>
        <v>0</v>
      </c>
      <c r="O29" s="43"/>
      <c r="Q29" s="30"/>
    </row>
    <row r="30" spans="2:17" ht="12.6" customHeight="1" x14ac:dyDescent="0.25">
      <c r="B30" s="72" t="s">
        <v>79</v>
      </c>
      <c r="C30" s="139">
        <f>ROUNDUP((D28+D29+2)/7,0)</f>
        <v>2</v>
      </c>
      <c r="D30" s="140" t="s">
        <v>58</v>
      </c>
      <c r="E30" s="141"/>
      <c r="F30" s="116"/>
      <c r="G30" s="41"/>
      <c r="H30" s="123" t="str">
        <f>IF(DiskO=0,"Tenzilat Sonrası Kar/Zarar",IF(M29-M23&lt;0,"Tenzilat Sonrası Zarar","Tenzilat Sonrası Kar"))</f>
        <v>Tenzilat Sonrası Kar/Zarar</v>
      </c>
      <c r="J30" s="93">
        <f>IF(I29=0,0,M26-M23-J29)</f>
        <v>0</v>
      </c>
      <c r="K30" s="126" t="str">
        <f>IF(J30=0,"",IF(I29=0,"",J30/M29))</f>
        <v/>
      </c>
      <c r="L30" s="127"/>
      <c r="M30" s="116"/>
      <c r="N30" s="2"/>
      <c r="O30" s="43"/>
      <c r="Q30" s="30"/>
    </row>
    <row r="31" spans="2:17" ht="12.6" customHeight="1" x14ac:dyDescent="0.25">
      <c r="B31" s="72" t="s">
        <v>80</v>
      </c>
      <c r="C31" s="139">
        <v>1</v>
      </c>
      <c r="D31" s="140" t="s">
        <v>59</v>
      </c>
      <c r="E31" s="141"/>
      <c r="F31" s="116"/>
      <c r="G31" s="41"/>
      <c r="H31" s="108" t="s">
        <v>48</v>
      </c>
      <c r="I31" s="44"/>
      <c r="J31" s="44"/>
      <c r="K31" s="44"/>
      <c r="L31" s="45" t="str">
        <f>Tpbr</f>
        <v>Teklif Para Birimi (USD)</v>
      </c>
      <c r="M31" s="109">
        <f>IF(I29=0,M26/Tpb,M29/Tpb)</f>
        <v>0</v>
      </c>
      <c r="O31" s="43"/>
      <c r="Q31" s="30"/>
    </row>
    <row r="32" spans="2:17" ht="12.6" customHeight="1" x14ac:dyDescent="0.25">
      <c r="G32" s="41"/>
      <c r="I32"/>
      <c r="M32" s="5"/>
      <c r="O32" s="30"/>
      <c r="Q32" s="30"/>
    </row>
    <row r="33" spans="2:17" ht="12.6" customHeight="1" x14ac:dyDescent="0.25">
      <c r="I33"/>
      <c r="O33" s="30"/>
      <c r="Q33" s="30"/>
    </row>
    <row r="34" spans="2:17" ht="12.6" customHeight="1" x14ac:dyDescent="0.25">
      <c r="I34"/>
      <c r="O34" s="30"/>
      <c r="Q34" s="30"/>
    </row>
    <row r="35" spans="2:17" s="10" customFormat="1" ht="12.6" customHeight="1" x14ac:dyDescent="0.2">
      <c r="G35" s="2"/>
      <c r="H35" s="2"/>
      <c r="I35" s="2"/>
      <c r="J35" s="2"/>
      <c r="K35" s="2"/>
      <c r="L35" s="2"/>
      <c r="M35" s="2"/>
      <c r="N35" s="30"/>
      <c r="O35" s="2"/>
      <c r="Q35" s="2"/>
    </row>
    <row r="36" spans="2:17" ht="12.6" customHeight="1" x14ac:dyDescent="0.25">
      <c r="N36" s="30"/>
      <c r="O36" s="30"/>
      <c r="Q36" s="30"/>
    </row>
    <row r="37" spans="2:17" ht="12.6" customHeight="1" x14ac:dyDescent="0.25">
      <c r="N37" s="30"/>
      <c r="O37" s="30"/>
      <c r="Q37" s="30"/>
    </row>
    <row r="38" spans="2:17" ht="12.6" customHeight="1" x14ac:dyDescent="0.25">
      <c r="G38" s="5"/>
      <c r="N38" s="2"/>
      <c r="O38" s="30"/>
      <c r="Q38" s="30"/>
    </row>
    <row r="39" spans="2:17" ht="12.6" customHeight="1" x14ac:dyDescent="0.25">
      <c r="M39" s="30"/>
      <c r="O39" s="30"/>
      <c r="Q39" s="30"/>
    </row>
    <row r="40" spans="2:17" ht="12.6" customHeight="1" x14ac:dyDescent="0.25">
      <c r="G40" s="1"/>
      <c r="M40"/>
      <c r="N40" s="1"/>
      <c r="O40" s="30"/>
      <c r="Q40" s="30"/>
    </row>
    <row r="41" spans="2:17" ht="12.6" customHeight="1" x14ac:dyDescent="0.25">
      <c r="M41"/>
      <c r="N41" s="30"/>
      <c r="O41" s="30"/>
      <c r="Q41" s="30"/>
    </row>
    <row r="42" spans="2:17" ht="12.6" customHeight="1" x14ac:dyDescent="0.25">
      <c r="M42"/>
      <c r="N42" s="30"/>
      <c r="O42" s="30"/>
      <c r="Q42" s="30"/>
    </row>
    <row r="43" spans="2:17" ht="12.6" customHeight="1" x14ac:dyDescent="0.25">
      <c r="J43" s="11"/>
      <c r="K43" s="11"/>
      <c r="M43"/>
      <c r="N43" s="30"/>
      <c r="O43" s="30"/>
      <c r="Q43" s="30"/>
    </row>
    <row r="44" spans="2:17" ht="12.6" customHeight="1" x14ac:dyDescent="0.25">
      <c r="M44"/>
      <c r="N44" s="30"/>
      <c r="O44" s="30"/>
      <c r="Q44" s="30"/>
    </row>
    <row r="45" spans="2:17" ht="12.6" customHeight="1" x14ac:dyDescent="0.25">
      <c r="B45" s="38"/>
      <c r="C45" s="39"/>
      <c r="D45" s="39"/>
      <c r="E45" s="40"/>
      <c r="F45" s="39"/>
      <c r="M45" s="30"/>
      <c r="N45" s="30"/>
      <c r="O45" s="30"/>
      <c r="Q45" s="30"/>
    </row>
    <row r="46" spans="2:17" ht="12.6" customHeight="1" x14ac:dyDescent="0.25">
      <c r="H46" s="39"/>
      <c r="I46" s="39"/>
      <c r="J46" s="39"/>
      <c r="K46" s="39"/>
      <c r="M46" s="30"/>
      <c r="N46" s="30"/>
      <c r="O46" s="30"/>
      <c r="Q46" s="30"/>
    </row>
    <row r="47" spans="2:17" ht="12.6" customHeight="1" x14ac:dyDescent="0.25">
      <c r="M47" s="30"/>
      <c r="N47" s="30"/>
      <c r="O47" s="30"/>
      <c r="Q47" s="30"/>
    </row>
    <row r="48" spans="2:17" ht="12.6" customHeight="1" x14ac:dyDescent="0.25">
      <c r="M48" s="30"/>
      <c r="N48" s="30"/>
      <c r="O48" s="30"/>
      <c r="Q48" s="30"/>
    </row>
    <row r="49" spans="2:17" ht="12.6" customHeight="1" x14ac:dyDescent="0.25">
      <c r="B49" s="30"/>
      <c r="M49" s="30"/>
      <c r="N49" s="30"/>
      <c r="O49" s="30"/>
      <c r="Q49" s="30"/>
    </row>
    <row r="50" spans="2:17" ht="12.6" customHeight="1" x14ac:dyDescent="0.25">
      <c r="B50" s="30"/>
      <c r="M50" s="30"/>
      <c r="N50" s="30"/>
      <c r="O50" s="30"/>
      <c r="Q50" s="30"/>
    </row>
    <row r="51" spans="2:17" ht="12.6" customHeight="1" x14ac:dyDescent="0.25">
      <c r="B51" s="30"/>
      <c r="M51" s="30"/>
      <c r="N51" s="30"/>
      <c r="O51" s="30"/>
      <c r="Q51" s="30"/>
    </row>
    <row r="52" spans="2:17" ht="12.6" customHeight="1" x14ac:dyDescent="0.25">
      <c r="B52" s="30"/>
      <c r="M52" s="30"/>
      <c r="N52" s="30"/>
      <c r="O52" s="30"/>
      <c r="Q52" s="30"/>
    </row>
    <row r="53" spans="2:17" ht="12.6" customHeight="1" x14ac:dyDescent="0.25">
      <c r="B53" s="30"/>
      <c r="M53" s="30"/>
      <c r="N53" s="30"/>
      <c r="O53" s="30"/>
      <c r="Q53" s="30"/>
    </row>
    <row r="54" spans="2:17" ht="12.6" customHeight="1" x14ac:dyDescent="0.25">
      <c r="B54" s="30"/>
      <c r="M54" s="30"/>
      <c r="N54" s="30"/>
      <c r="O54" s="30"/>
      <c r="Q54" s="30"/>
    </row>
    <row r="55" spans="2:17" ht="12.6" customHeight="1" x14ac:dyDescent="0.25">
      <c r="B55" s="30"/>
      <c r="N55" s="30"/>
      <c r="O55" s="30"/>
      <c r="P55" s="30"/>
      <c r="Q55" s="30"/>
    </row>
    <row r="56" spans="2:17" ht="12.6" customHeight="1" x14ac:dyDescent="0.25">
      <c r="B56" s="30"/>
      <c r="N56" s="30"/>
      <c r="O56" s="30"/>
      <c r="P56" s="30"/>
      <c r="Q56" s="30"/>
    </row>
    <row r="57" spans="2:17" ht="12.6" customHeight="1" x14ac:dyDescent="0.25">
      <c r="B57" s="30"/>
      <c r="N57" s="30"/>
      <c r="O57" s="30"/>
      <c r="P57" s="30"/>
      <c r="Q57" s="30"/>
    </row>
    <row r="58" spans="2:17" ht="12.6" customHeight="1" x14ac:dyDescent="0.25">
      <c r="B58" s="30"/>
      <c r="N58" s="30"/>
      <c r="O58" s="30"/>
      <c r="P58" s="30"/>
      <c r="Q58" s="30"/>
    </row>
    <row r="59" spans="2:17" ht="12.6" customHeight="1" x14ac:dyDescent="0.25">
      <c r="B59" s="30"/>
      <c r="N59" s="30"/>
      <c r="O59" s="30"/>
      <c r="P59" s="30"/>
      <c r="Q59" s="30"/>
    </row>
    <row r="60" spans="2:17" ht="12.6" customHeight="1" x14ac:dyDescent="0.25">
      <c r="B60" s="30"/>
      <c r="N60" s="30"/>
      <c r="O60" s="30"/>
      <c r="P60" s="30"/>
      <c r="Q60" s="30"/>
    </row>
    <row r="61" spans="2:17" ht="12.6" customHeight="1" x14ac:dyDescent="0.25">
      <c r="B61" s="30"/>
      <c r="N61" s="30"/>
      <c r="O61" s="30"/>
      <c r="P61" s="30"/>
      <c r="Q61" s="30"/>
    </row>
    <row r="62" spans="2:17" ht="12.6" customHeight="1" x14ac:dyDescent="0.25">
      <c r="B62" s="30"/>
      <c r="N62" s="30"/>
      <c r="O62" s="30"/>
      <c r="P62" s="30"/>
      <c r="Q62" s="30"/>
    </row>
    <row r="63" spans="2:17" ht="12.6" customHeight="1" x14ac:dyDescent="0.25">
      <c r="B63" s="30"/>
      <c r="N63" s="30"/>
      <c r="O63" s="30"/>
      <c r="P63" s="30"/>
      <c r="Q63" s="30"/>
    </row>
    <row r="64" spans="2:17" ht="12.6" customHeight="1" x14ac:dyDescent="0.25">
      <c r="B64" s="30"/>
      <c r="N64" s="30"/>
      <c r="O64" s="30"/>
      <c r="P64" s="30"/>
      <c r="Q64" s="30"/>
    </row>
    <row r="65" spans="2:17" ht="12.6" customHeight="1" x14ac:dyDescent="0.25">
      <c r="B65" s="30"/>
      <c r="N65" s="30"/>
      <c r="O65" s="30"/>
      <c r="P65" s="30"/>
      <c r="Q65" s="30"/>
    </row>
    <row r="66" spans="2:17" ht="12.6" customHeight="1" x14ac:dyDescent="0.25">
      <c r="B66" s="30"/>
      <c r="N66" s="30"/>
      <c r="O66" s="30"/>
      <c r="P66" s="30"/>
      <c r="Q66" s="30"/>
    </row>
    <row r="67" spans="2:17" ht="12.6" customHeight="1" x14ac:dyDescent="0.25">
      <c r="B67" s="30"/>
      <c r="N67" s="30"/>
      <c r="O67" s="30"/>
      <c r="P67" s="30"/>
      <c r="Q67" s="30"/>
    </row>
    <row r="68" spans="2:17" ht="12.6" customHeight="1" x14ac:dyDescent="0.25">
      <c r="B68" s="30"/>
      <c r="N68" s="30"/>
      <c r="O68" s="30"/>
      <c r="P68" s="30"/>
      <c r="Q68" s="30"/>
    </row>
    <row r="69" spans="2:17" ht="12.6" customHeight="1" x14ac:dyDescent="0.25">
      <c r="B69" s="30"/>
      <c r="N69" s="30"/>
      <c r="O69" s="30"/>
      <c r="P69" s="30"/>
      <c r="Q69" s="30"/>
    </row>
    <row r="70" spans="2:17" ht="12.6" customHeight="1" x14ac:dyDescent="0.25">
      <c r="B70" s="30"/>
      <c r="N70" s="30"/>
      <c r="O70" s="30"/>
      <c r="P70" s="30"/>
      <c r="Q70" s="30"/>
    </row>
    <row r="71" spans="2:17" ht="12.6" customHeight="1" x14ac:dyDescent="0.25">
      <c r="B71" s="30"/>
      <c r="N71" s="30"/>
      <c r="O71" s="30"/>
      <c r="P71" s="30"/>
      <c r="Q71" s="30"/>
    </row>
    <row r="72" spans="2:17" ht="12.6" customHeight="1" x14ac:dyDescent="0.25">
      <c r="B72" s="30"/>
      <c r="N72" s="30"/>
      <c r="O72" s="30"/>
      <c r="P72" s="30"/>
      <c r="Q72" s="30"/>
    </row>
    <row r="73" spans="2:17" ht="12.6" customHeight="1" x14ac:dyDescent="0.25">
      <c r="B73" s="30"/>
      <c r="N73" s="30"/>
      <c r="O73" s="30"/>
      <c r="P73" s="30"/>
      <c r="Q73" s="30"/>
    </row>
    <row r="74" spans="2:17" ht="12.6" customHeight="1" x14ac:dyDescent="0.25">
      <c r="B74" s="30"/>
      <c r="N74" s="30"/>
      <c r="O74" s="30"/>
      <c r="P74" s="30"/>
      <c r="Q74" s="30"/>
    </row>
    <row r="75" spans="2:17" ht="12.6" customHeight="1" x14ac:dyDescent="0.25">
      <c r="B75" s="30"/>
      <c r="N75" s="30"/>
      <c r="O75" s="30"/>
      <c r="P75" s="30"/>
      <c r="Q75" s="30"/>
    </row>
    <row r="76" spans="2:17" ht="12.6" customHeight="1" x14ac:dyDescent="0.25">
      <c r="B76" s="30"/>
      <c r="N76" s="30"/>
      <c r="O76" s="30"/>
      <c r="P76" s="30"/>
      <c r="Q76" s="30"/>
    </row>
    <row r="77" spans="2:17" ht="12.6" customHeight="1" x14ac:dyDescent="0.25">
      <c r="B77" s="30"/>
      <c r="N77" s="30"/>
      <c r="O77" s="30"/>
      <c r="P77" s="30"/>
      <c r="Q77" s="30"/>
    </row>
    <row r="78" spans="2:17" ht="12.6" customHeight="1" x14ac:dyDescent="0.25">
      <c r="B78" s="30"/>
      <c r="N78" s="30"/>
      <c r="O78" s="30"/>
      <c r="P78" s="30"/>
      <c r="Q78" s="30"/>
    </row>
    <row r="79" spans="2:17" ht="12.6" customHeight="1" x14ac:dyDescent="0.25">
      <c r="B79" s="30"/>
      <c r="N79" s="30"/>
      <c r="O79" s="30"/>
      <c r="P79" s="30"/>
      <c r="Q79" s="30"/>
    </row>
    <row r="80" spans="2:17" ht="12.6" customHeight="1" x14ac:dyDescent="0.25">
      <c r="B80" s="30"/>
      <c r="N80" s="30"/>
      <c r="O80" s="30"/>
      <c r="P80" s="30"/>
      <c r="Q80" s="30"/>
    </row>
    <row r="81" spans="2:17" ht="12.6" customHeight="1" x14ac:dyDescent="0.25">
      <c r="B81" s="30"/>
      <c r="N81" s="30"/>
      <c r="O81" s="30"/>
      <c r="P81" s="30"/>
      <c r="Q81" s="30"/>
    </row>
    <row r="82" spans="2:17" ht="12.6" customHeight="1" x14ac:dyDescent="0.25">
      <c r="B82" s="30"/>
      <c r="N82" s="30"/>
      <c r="O82" s="30"/>
      <c r="P82" s="30"/>
      <c r="Q82" s="30"/>
    </row>
    <row r="83" spans="2:17" ht="12.6" customHeight="1" x14ac:dyDescent="0.25">
      <c r="B83" s="30"/>
      <c r="N83" s="30"/>
      <c r="O83" s="30"/>
      <c r="P83" s="30"/>
      <c r="Q83" s="30"/>
    </row>
    <row r="84" spans="2:17" ht="12.6" customHeight="1" x14ac:dyDescent="0.25">
      <c r="B84" s="30"/>
      <c r="N84" s="30"/>
      <c r="O84" s="30"/>
      <c r="P84" s="30"/>
      <c r="Q84" s="30"/>
    </row>
    <row r="85" spans="2:17" ht="12.6" customHeight="1" x14ac:dyDescent="0.25">
      <c r="B85" s="30"/>
      <c r="N85" s="30"/>
      <c r="O85" s="30"/>
      <c r="P85" s="30"/>
      <c r="Q85" s="30"/>
    </row>
    <row r="86" spans="2:17" ht="12.6" customHeight="1" x14ac:dyDescent="0.25">
      <c r="B86" s="30"/>
      <c r="N86" s="30"/>
      <c r="O86" s="30"/>
      <c r="P86" s="30"/>
      <c r="Q86" s="30"/>
    </row>
    <row r="87" spans="2:17" ht="12.6" customHeight="1" x14ac:dyDescent="0.25">
      <c r="B87" s="30"/>
      <c r="N87" s="30"/>
      <c r="O87" s="30"/>
      <c r="P87" s="30"/>
      <c r="Q87" s="30"/>
    </row>
    <row r="88" spans="2:17" ht="12.6" customHeight="1" x14ac:dyDescent="0.25">
      <c r="B88" s="30"/>
      <c r="N88" s="30"/>
      <c r="O88" s="30"/>
      <c r="P88" s="30"/>
      <c r="Q88" s="30"/>
    </row>
    <row r="89" spans="2:17" ht="12.6" customHeight="1" x14ac:dyDescent="0.25">
      <c r="B89" s="30"/>
      <c r="N89" s="30"/>
      <c r="O89" s="30"/>
      <c r="P89" s="30"/>
      <c r="Q89" s="30"/>
    </row>
    <row r="90" spans="2:17" ht="12.6" customHeight="1" x14ac:dyDescent="0.25">
      <c r="B90" s="30"/>
      <c r="N90" s="30"/>
      <c r="O90" s="30"/>
      <c r="P90" s="30"/>
      <c r="Q90" s="30"/>
    </row>
    <row r="91" spans="2:17" ht="12.6" customHeight="1" x14ac:dyDescent="0.25">
      <c r="B91" s="30"/>
      <c r="N91" s="30"/>
      <c r="O91" s="30"/>
      <c r="P91" s="30"/>
      <c r="Q91" s="30"/>
    </row>
    <row r="92" spans="2:17" ht="12.6" customHeight="1" x14ac:dyDescent="0.25">
      <c r="B92" s="30"/>
      <c r="N92" s="30"/>
      <c r="O92" s="30"/>
      <c r="P92" s="30"/>
      <c r="Q92" s="30"/>
    </row>
    <row r="93" spans="2:17" ht="12.6" customHeight="1" x14ac:dyDescent="0.25">
      <c r="B93" s="30"/>
      <c r="N93" s="30"/>
      <c r="O93" s="30"/>
      <c r="P93" s="30"/>
      <c r="Q93" s="30"/>
    </row>
    <row r="94" spans="2:17" ht="12.6" customHeight="1" x14ac:dyDescent="0.25">
      <c r="B94" s="30"/>
      <c r="N94" s="30"/>
      <c r="O94" s="30"/>
      <c r="P94" s="30"/>
      <c r="Q94" s="30"/>
    </row>
    <row r="95" spans="2:17" ht="12.6" customHeight="1" x14ac:dyDescent="0.25">
      <c r="B95" s="30"/>
      <c r="N95" s="30"/>
      <c r="O95" s="30"/>
      <c r="P95" s="30"/>
      <c r="Q95" s="30"/>
    </row>
    <row r="96" spans="2:17" ht="12.6" customHeight="1" x14ac:dyDescent="0.25">
      <c r="B96" s="30"/>
      <c r="N96" s="30"/>
      <c r="O96" s="30"/>
      <c r="P96" s="30"/>
      <c r="Q96" s="30"/>
    </row>
    <row r="97" spans="2:17" ht="12.6" customHeight="1" x14ac:dyDescent="0.25">
      <c r="B97" s="30"/>
      <c r="N97" s="30"/>
      <c r="O97" s="30"/>
      <c r="P97" s="30"/>
      <c r="Q97" s="30"/>
    </row>
    <row r="98" spans="2:17" ht="12.6" customHeight="1" x14ac:dyDescent="0.25">
      <c r="B98" s="30"/>
      <c r="N98" s="30"/>
      <c r="O98" s="30"/>
      <c r="P98" s="30"/>
      <c r="Q98" s="30"/>
    </row>
    <row r="99" spans="2:17" ht="12.6" customHeight="1" x14ac:dyDescent="0.25">
      <c r="B99" s="30"/>
      <c r="N99" s="30"/>
      <c r="O99" s="30"/>
      <c r="P99" s="30"/>
      <c r="Q99" s="30"/>
    </row>
    <row r="100" spans="2:17" ht="12.6" customHeight="1" x14ac:dyDescent="0.25">
      <c r="B100" s="30"/>
      <c r="N100" s="30"/>
      <c r="O100" s="30"/>
      <c r="P100" s="30"/>
      <c r="Q100" s="30"/>
    </row>
    <row r="101" spans="2:17" ht="12.6" customHeight="1" x14ac:dyDescent="0.25">
      <c r="B101" s="30"/>
      <c r="N101" s="30"/>
      <c r="O101" s="30"/>
      <c r="P101" s="30"/>
      <c r="Q101" s="30"/>
    </row>
    <row r="102" spans="2:17" ht="12.6" customHeight="1" x14ac:dyDescent="0.25">
      <c r="B102" s="30"/>
      <c r="N102" s="30"/>
      <c r="O102" s="30"/>
      <c r="P102" s="30"/>
      <c r="Q102" s="30"/>
    </row>
    <row r="103" spans="2:17" ht="12.6" customHeight="1" x14ac:dyDescent="0.25">
      <c r="B103" s="30"/>
      <c r="N103" s="30"/>
      <c r="O103" s="30"/>
      <c r="P103" s="30"/>
      <c r="Q103" s="30"/>
    </row>
    <row r="104" spans="2:17" ht="12.6" customHeight="1" x14ac:dyDescent="0.25">
      <c r="B104" s="30"/>
      <c r="N104" s="30"/>
      <c r="O104" s="30"/>
      <c r="P104" s="30"/>
      <c r="Q104" s="30"/>
    </row>
    <row r="105" spans="2:17" ht="12.6" customHeight="1" x14ac:dyDescent="0.25">
      <c r="B105" s="30"/>
      <c r="N105" s="30"/>
      <c r="O105" s="30"/>
      <c r="P105" s="30"/>
      <c r="Q105" s="30"/>
    </row>
    <row r="106" spans="2:17" ht="12.6" customHeight="1" x14ac:dyDescent="0.25">
      <c r="B106" s="30"/>
      <c r="N106" s="30"/>
      <c r="O106" s="30"/>
      <c r="P106" s="30"/>
      <c r="Q106" s="30"/>
    </row>
    <row r="107" spans="2:17" ht="12.6" customHeight="1" x14ac:dyDescent="0.25">
      <c r="B107" s="30"/>
      <c r="N107" s="30"/>
      <c r="O107" s="30"/>
      <c r="P107" s="30"/>
      <c r="Q107" s="30"/>
    </row>
    <row r="108" spans="2:17" ht="12.6" customHeight="1" x14ac:dyDescent="0.25">
      <c r="B108" s="30"/>
      <c r="N108" s="30"/>
      <c r="O108" s="30"/>
      <c r="P108" s="30"/>
      <c r="Q108" s="30"/>
    </row>
    <row r="109" spans="2:17" ht="12.6" customHeight="1" x14ac:dyDescent="0.25">
      <c r="B109" s="30"/>
      <c r="N109" s="30"/>
      <c r="O109" s="30"/>
      <c r="P109" s="30"/>
      <c r="Q109" s="30"/>
    </row>
    <row r="110" spans="2:17" ht="12.6" customHeight="1" x14ac:dyDescent="0.25">
      <c r="B110" s="30"/>
      <c r="N110" s="30"/>
      <c r="O110" s="30"/>
      <c r="P110" s="30"/>
      <c r="Q110" s="30"/>
    </row>
    <row r="111" spans="2:17" ht="12.6" customHeight="1" x14ac:dyDescent="0.25">
      <c r="B111" s="30"/>
      <c r="N111" s="30"/>
      <c r="O111" s="30"/>
      <c r="P111" s="30"/>
      <c r="Q111" s="30"/>
    </row>
    <row r="112" spans="2:17" ht="12.6" customHeight="1" x14ac:dyDescent="0.25">
      <c r="B112" s="30"/>
      <c r="N112" s="30"/>
      <c r="O112" s="30"/>
      <c r="P112" s="30"/>
      <c r="Q112" s="30"/>
    </row>
    <row r="113" spans="2:17" ht="12.6" customHeight="1" x14ac:dyDescent="0.25">
      <c r="B113" s="30"/>
      <c r="N113" s="30"/>
      <c r="O113" s="30"/>
      <c r="P113" s="30"/>
      <c r="Q113" s="30"/>
    </row>
    <row r="114" spans="2:17" ht="12.6" customHeight="1" x14ac:dyDescent="0.25">
      <c r="B114" s="30"/>
      <c r="N114" s="30"/>
      <c r="O114" s="30"/>
      <c r="P114" s="30"/>
      <c r="Q114" s="30"/>
    </row>
    <row r="115" spans="2:17" ht="12.6" customHeight="1" x14ac:dyDescent="0.25">
      <c r="B115" s="30"/>
      <c r="N115" s="30"/>
      <c r="O115" s="30"/>
      <c r="P115" s="30"/>
      <c r="Q115" s="30"/>
    </row>
    <row r="116" spans="2:17" ht="12.6" customHeight="1" x14ac:dyDescent="0.25">
      <c r="B116" s="30"/>
      <c r="N116" s="30"/>
      <c r="O116" s="30"/>
      <c r="P116" s="30"/>
      <c r="Q116" s="30"/>
    </row>
    <row r="117" spans="2:17" ht="12.6" customHeight="1" x14ac:dyDescent="0.25">
      <c r="B117" s="30"/>
      <c r="N117" s="30"/>
      <c r="O117" s="30"/>
      <c r="P117" s="30"/>
      <c r="Q117" s="30"/>
    </row>
    <row r="118" spans="2:17" ht="12.6" customHeight="1" x14ac:dyDescent="0.25">
      <c r="B118" s="30"/>
      <c r="N118" s="30"/>
      <c r="O118" s="30"/>
      <c r="P118" s="30"/>
      <c r="Q118" s="30"/>
    </row>
    <row r="119" spans="2:17" ht="12.6" customHeight="1" x14ac:dyDescent="0.25">
      <c r="B119" s="30"/>
      <c r="N119" s="30"/>
      <c r="O119" s="30"/>
      <c r="P119" s="30"/>
      <c r="Q119" s="30"/>
    </row>
    <row r="120" spans="2:17" ht="12.6" customHeight="1" x14ac:dyDescent="0.25">
      <c r="B120" s="30"/>
      <c r="N120" s="30"/>
      <c r="O120" s="30"/>
      <c r="P120" s="30"/>
      <c r="Q120" s="30"/>
    </row>
    <row r="55555" spans="9:9" ht="12.6" customHeight="1" x14ac:dyDescent="0.25">
      <c r="I55555" s="83" t="s">
        <v>49</v>
      </c>
    </row>
  </sheetData>
  <conditionalFormatting sqref="H30">
    <cfRule type="containsText" dxfId="1" priority="8" operator="containsText" text="Tenzilat Sonrası Zarar">
      <formula>NOT(ISERROR(SEARCH("Tenzilat Sonrası Zarar",H30)))</formula>
    </cfRule>
  </conditionalFormatting>
  <conditionalFormatting sqref="I24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{87FEB79F-22DC-4435-A009-7F2063FB2900}</x14:id>
        </ext>
      </extLst>
    </cfRule>
  </conditionalFormatting>
  <conditionalFormatting sqref="J30">
    <cfRule type="cellIs" dxfId="0" priority="7" operator="lessThan">
      <formula>0</formula>
    </cfRule>
  </conditionalFormatting>
  <conditionalFormatting sqref="K14:L14 K16:L22">
    <cfRule type="dataBar" priority="1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{1FA99E77-F0B8-48B1-A17C-741BAB062DA4}</x14:id>
        </ext>
      </extLst>
    </cfRule>
  </conditionalFormatting>
  <conditionalFormatting sqref="K15:L15">
    <cfRule type="dataBar" priority="1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{6522DF46-D22F-4339-B67C-D97AC67A3C70}</x14:id>
        </ext>
      </extLst>
    </cfRule>
  </conditionalFormatting>
  <conditionalFormatting sqref="K23:L23">
    <cfRule type="dataBar" priority="4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{6A896BC0-A17F-477E-BE6E-E5F5DB099560}</x14:id>
        </ext>
      </extLst>
    </cfRule>
  </conditionalFormatting>
  <conditionalFormatting sqref="K24:L24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{3EF8C404-16DE-4EF4-9E39-9C61B2AE56D1}</x14:id>
        </ext>
      </extLst>
    </cfRule>
  </conditionalFormatting>
  <conditionalFormatting sqref="K25:L25">
    <cfRule type="dataBar" priority="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{C41CB4C4-E677-473C-A6C1-EE635FF874D6}</x14:id>
        </ext>
      </extLst>
    </cfRule>
  </conditionalFormatting>
  <conditionalFormatting sqref="L3:L10">
    <cfRule type="dataBar" priority="19">
      <dataBar>
        <cfvo type="num" val="0"/>
        <cfvo type="num" val="100"/>
        <color rgb="FF00B050"/>
      </dataBar>
      <extLst>
        <ext xmlns:x14="http://schemas.microsoft.com/office/spreadsheetml/2009/9/main" uri="{B025F937-C7B1-47D3-B67F-A62EFF666E3E}">
          <x14:id>{769885AB-47AF-4A59-97BE-C02568459389}</x14:id>
        </ext>
      </extLst>
    </cfRule>
  </conditionalFormatting>
  <dataValidations disablePrompts="1" count="2">
    <dataValidation type="list" allowBlank="1" showInputMessage="1" showErrorMessage="1" sqref="F10" xr:uid="{9DD4B360-469E-43BC-9442-CF242DE3DF83}">
      <formula1>"Takipte,Alındı,Alınmadı"</formula1>
    </dataValidation>
    <dataValidation type="list" allowBlank="1" showErrorMessage="1" sqref="F29" xr:uid="{85054739-5C0A-4758-8E5D-6B1BDD17B363}">
      <formula1>"1,2,3,4,5,6,7,8,9,10,11,12,13,14,15,16,17,18,19,20"</formula1>
    </dataValidation>
  </dataValidations>
  <printOptions horizontalCentered="1" verticalCentered="1"/>
  <pageMargins left="0.23622047244094491" right="0.23622047244094491" top="0.35433070866141736" bottom="0.35433070866141736" header="0.31496062992125984" footer="0.31496062992125984"/>
  <pageSetup paperSize="9" scale="81" orientation="landscape" horizontalDpi="4294967295" verticalDpi="209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6" r:id="rId4" name="Scroll Bar 6">
              <controlPr defaultSize="0" print="0" autoFill="0" autoLine="0" autoPict="0">
                <anchor moveWithCells="1">
                  <from>
                    <xdr:col>8</xdr:col>
                    <xdr:colOff>19050</xdr:colOff>
                    <xdr:row>21</xdr:row>
                    <xdr:rowOff>9525</xdr:rowOff>
                  </from>
                  <to>
                    <xdr:col>8</xdr:col>
                    <xdr:colOff>590550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5" name="Scroll Bar 9">
              <controlPr defaultSize="0" print="0" autoFill="0" autoLine="0" autoPict="0">
                <anchor moveWithCells="1">
                  <from>
                    <xdr:col>8</xdr:col>
                    <xdr:colOff>19050</xdr:colOff>
                    <xdr:row>28</xdr:row>
                    <xdr:rowOff>9525</xdr:rowOff>
                  </from>
                  <to>
                    <xdr:col>8</xdr:col>
                    <xdr:colOff>590550</xdr:colOff>
                    <xdr:row>28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6" name="Scroll Bar 11">
              <controlPr defaultSize="0" print="0" autoFill="0" autoLine="0" autoPict="0">
                <anchor moveWithCells="1">
                  <from>
                    <xdr:col>3</xdr:col>
                    <xdr:colOff>9525</xdr:colOff>
                    <xdr:row>21</xdr:row>
                    <xdr:rowOff>9525</xdr:rowOff>
                  </from>
                  <to>
                    <xdr:col>3</xdr:col>
                    <xdr:colOff>619125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7" name="Scroll Bar 12">
              <controlPr defaultSize="0" print="0" autoFill="0" autoLine="0" autoPict="0">
                <anchor moveWithCells="1">
                  <from>
                    <xdr:col>3</xdr:col>
                    <xdr:colOff>9525</xdr:colOff>
                    <xdr:row>22</xdr:row>
                    <xdr:rowOff>9525</xdr:rowOff>
                  </from>
                  <to>
                    <xdr:col>3</xdr:col>
                    <xdr:colOff>619125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8" name="Scroll Bar 13">
              <controlPr defaultSize="0" print="0" autoFill="0" autoLine="0" autoPict="0">
                <anchor moveWithCells="1">
                  <from>
                    <xdr:col>8</xdr:col>
                    <xdr:colOff>19050</xdr:colOff>
                    <xdr:row>24</xdr:row>
                    <xdr:rowOff>9525</xdr:rowOff>
                  </from>
                  <to>
                    <xdr:col>8</xdr:col>
                    <xdr:colOff>590550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9" name="Scroll Bar 15">
              <controlPr defaultSize="0" print="0" autoFill="0" autoLine="0" autoPict="0">
                <anchor moveWithCells="1">
                  <from>
                    <xdr:col>4</xdr:col>
                    <xdr:colOff>19050</xdr:colOff>
                    <xdr:row>21</xdr:row>
                    <xdr:rowOff>9525</xdr:rowOff>
                  </from>
                  <to>
                    <xdr:col>4</xdr:col>
                    <xdr:colOff>590550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4" r:id="rId10" name="Scroll Bar 44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2</xdr:row>
                    <xdr:rowOff>9525</xdr:rowOff>
                  </from>
                  <to>
                    <xdr:col>10</xdr:col>
                    <xdr:colOff>590550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5" r:id="rId11" name="Scroll Bar 45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5</xdr:row>
                    <xdr:rowOff>9525</xdr:rowOff>
                  </from>
                  <to>
                    <xdr:col>10</xdr:col>
                    <xdr:colOff>590550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6" r:id="rId12" name="Scroll Bar 46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6</xdr:row>
                    <xdr:rowOff>9525</xdr:rowOff>
                  </from>
                  <to>
                    <xdr:col>10</xdr:col>
                    <xdr:colOff>590550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7" r:id="rId13" name="Scroll Bar 47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7</xdr:row>
                    <xdr:rowOff>9525</xdr:rowOff>
                  </from>
                  <to>
                    <xdr:col>10</xdr:col>
                    <xdr:colOff>590550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8" r:id="rId14" name="Scroll Bar 48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8</xdr:row>
                    <xdr:rowOff>9525</xdr:rowOff>
                  </from>
                  <to>
                    <xdr:col>10</xdr:col>
                    <xdr:colOff>590550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69" r:id="rId15" name="Scroll Bar 49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9</xdr:row>
                    <xdr:rowOff>9525</xdr:rowOff>
                  </from>
                  <to>
                    <xdr:col>10</xdr:col>
                    <xdr:colOff>590550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0" r:id="rId16" name="Scroll Bar 50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4</xdr:row>
                    <xdr:rowOff>9525</xdr:rowOff>
                  </from>
                  <to>
                    <xdr:col>10</xdr:col>
                    <xdr:colOff>590550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71" r:id="rId17" name="Scroll Bar 51">
              <controlPr defaultSize="0" print="0" autoFill="0" autoLine="0" autoPict="0">
                <anchor moveWithCells="1">
                  <from>
                    <xdr:col>10</xdr:col>
                    <xdr:colOff>19050</xdr:colOff>
                    <xdr:row>3</xdr:row>
                    <xdr:rowOff>9525</xdr:rowOff>
                  </from>
                  <to>
                    <xdr:col>10</xdr:col>
                    <xdr:colOff>590550</xdr:colOff>
                    <xdr:row>3</xdr:row>
                    <xdr:rowOff>152400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FEB79F-22DC-4435-A009-7F2063FB290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iconSet" priority="28" id="{E56B8AA7-EC45-4131-B7A5-E28DF8828E9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K30</xm:sqref>
        </x14:conditionalFormatting>
        <x14:conditionalFormatting xmlns:xm="http://schemas.microsoft.com/office/excel/2006/main">
          <x14:cfRule type="dataBar" id="{1FA99E77-F0B8-48B1-A17C-741BAB062D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K14:L14 K16:L22</xm:sqref>
        </x14:conditionalFormatting>
        <x14:conditionalFormatting xmlns:xm="http://schemas.microsoft.com/office/excel/2006/main">
          <x14:cfRule type="dataBar" id="{6522DF46-D22F-4339-B67C-D97AC67A3C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K15:L15</xm:sqref>
        </x14:conditionalFormatting>
        <x14:conditionalFormatting xmlns:xm="http://schemas.microsoft.com/office/excel/2006/main">
          <x14:cfRule type="dataBar" id="{6A896BC0-A17F-477E-BE6E-E5F5DB0995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K23:L23</xm:sqref>
        </x14:conditionalFormatting>
        <x14:conditionalFormatting xmlns:xm="http://schemas.microsoft.com/office/excel/2006/main">
          <x14:cfRule type="dataBar" id="{3EF8C404-16DE-4EF4-9E39-9C61B2AE56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K24:L24</xm:sqref>
        </x14:conditionalFormatting>
        <x14:conditionalFormatting xmlns:xm="http://schemas.microsoft.com/office/excel/2006/main">
          <x14:cfRule type="dataBar" id="{C41CB4C4-E677-473C-A6C1-EE635FF874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K25:L25</xm:sqref>
        </x14:conditionalFormatting>
        <x14:conditionalFormatting xmlns:xm="http://schemas.microsoft.com/office/excel/2006/main">
          <x14:cfRule type="dataBar" id="{769885AB-47AF-4A59-97BE-C02568459389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L3:L10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1"/>
  <dimension ref="A1:X2"/>
  <sheetViews>
    <sheetView showGridLines="0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6" sqref="C6"/>
    </sheetView>
  </sheetViews>
  <sheetFormatPr defaultRowHeight="12.75" customHeight="1" x14ac:dyDescent="0.25"/>
  <cols>
    <col min="1" max="1" width="22.85546875" style="1" customWidth="1"/>
    <col min="2" max="2" width="19.28515625" style="1" customWidth="1"/>
    <col min="3" max="3" width="53.28515625" style="2" customWidth="1"/>
    <col min="4" max="4" width="11.28515625" style="3" customWidth="1"/>
    <col min="5" max="5" width="8.5703125" style="20" customWidth="1"/>
    <col min="6" max="6" width="12.42578125" style="5" customWidth="1"/>
    <col min="7" max="7" width="6.7109375" style="6" customWidth="1"/>
    <col min="8" max="8" width="7.140625" style="4" hidden="1" customWidth="1"/>
    <col min="9" max="9" width="5.28515625" style="7" hidden="1" customWidth="1"/>
    <col min="10" max="10" width="10.7109375" style="4" hidden="1" customWidth="1"/>
    <col min="11" max="11" width="13.85546875" style="4" hidden="1" customWidth="1"/>
    <col min="12" max="12" width="12.85546875" style="4" hidden="1" customWidth="1"/>
    <col min="13" max="13" width="11.140625" style="4" hidden="1" customWidth="1"/>
    <col min="14" max="14" width="13.140625" style="4" hidden="1" customWidth="1"/>
    <col min="15" max="15" width="13.7109375" style="4" hidden="1" customWidth="1"/>
    <col min="16" max="16" width="14.140625" style="4" hidden="1" customWidth="1"/>
    <col min="17" max="17" width="12.7109375" style="4" hidden="1" customWidth="1"/>
    <col min="18" max="18" width="14" style="4" hidden="1" customWidth="1"/>
    <col min="19" max="19" width="11.5703125" style="4" hidden="1" customWidth="1"/>
    <col min="20" max="20" width="8.85546875" style="8" hidden="1" customWidth="1"/>
    <col min="21" max="21" width="13.7109375" style="4" hidden="1" customWidth="1"/>
    <col min="22" max="22" width="1.85546875" style="4" customWidth="1"/>
    <col min="23" max="23" width="11.42578125" style="185" customWidth="1"/>
    <col min="24" max="24" width="12.28515625" style="185" customWidth="1"/>
  </cols>
  <sheetData>
    <row r="1" spans="1:24" ht="18" customHeight="1" x14ac:dyDescent="0.25">
      <c r="A1" s="22" t="s">
        <v>0</v>
      </c>
      <c r="B1" s="13" t="s">
        <v>54</v>
      </c>
      <c r="C1" s="13" t="s">
        <v>1</v>
      </c>
      <c r="D1" s="14" t="s">
        <v>2</v>
      </c>
      <c r="E1" s="21" t="s">
        <v>3</v>
      </c>
      <c r="F1" s="15" t="s">
        <v>4</v>
      </c>
      <c r="G1" s="16" t="s">
        <v>5</v>
      </c>
      <c r="H1" s="17" t="s">
        <v>6</v>
      </c>
      <c r="I1" s="17" t="s">
        <v>53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8" t="s">
        <v>17</v>
      </c>
      <c r="U1" s="17" t="s">
        <v>18</v>
      </c>
      <c r="V1" s="19" t="s">
        <v>19</v>
      </c>
      <c r="W1" s="182" t="s">
        <v>20</v>
      </c>
      <c r="X1" s="182" t="s">
        <v>21</v>
      </c>
    </row>
    <row r="2" spans="1:24" ht="12.75" customHeight="1" x14ac:dyDescent="0.25">
      <c r="A2" s="172"/>
      <c r="B2" s="173" t="s">
        <v>154</v>
      </c>
      <c r="C2" s="174" t="s">
        <v>157</v>
      </c>
      <c r="D2" s="175"/>
      <c r="E2" s="181">
        <v>1</v>
      </c>
      <c r="F2" s="176"/>
      <c r="G2" s="177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9"/>
      <c r="U2" s="180"/>
      <c r="V2" s="171"/>
      <c r="W2" s="183"/>
      <c r="X2" s="184"/>
    </row>
  </sheetData>
  <autoFilter ref="A1:X1" xr:uid="{00000000-0009-0000-0000-000000000000}"/>
  <printOptions horizontalCentered="1"/>
  <pageMargins left="0.31496062992125984" right="0.23622047244094491" top="1.02" bottom="0.68" header="0.31496062992125984" footer="0.31496062992125984"/>
  <pageSetup paperSize="9" orientation="portrait" horizontalDpi="209" verticalDpi="209" r:id="rId1"/>
  <headerFooter>
    <oddFooter>&amp;CSayfa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C152-54FA-43B5-8310-9E3C332FBD13}">
  <sheetPr codeName="Sayfa1">
    <tabColor rgb="FFFFFF00"/>
  </sheetPr>
  <dimension ref="B1:W35"/>
  <sheetViews>
    <sheetView view="pageBreakPreview" topLeftCell="A4" zoomScaleNormal="110" zoomScaleSheetLayoutView="100" workbookViewId="0">
      <selection activeCell="G23" sqref="G23"/>
    </sheetView>
  </sheetViews>
  <sheetFormatPr defaultRowHeight="12.75" x14ac:dyDescent="0.2"/>
  <cols>
    <col min="1" max="1" width="2.7109375" style="151" customWidth="1"/>
    <col min="2" max="2" width="8" style="151" bestFit="1" customWidth="1"/>
    <col min="3" max="3" width="7" style="151" bestFit="1" customWidth="1"/>
    <col min="4" max="4" width="8" style="151" bestFit="1" customWidth="1"/>
    <col min="5" max="5" width="5.85546875" style="151" bestFit="1" customWidth="1"/>
    <col min="6" max="6" width="7.140625" style="151" bestFit="1" customWidth="1"/>
    <col min="7" max="7" width="10.5703125" style="151" customWidth="1"/>
    <col min="8" max="8" width="11.85546875" style="151" customWidth="1"/>
    <col min="9" max="9" width="11.7109375" style="151" customWidth="1"/>
    <col min="10" max="10" width="9.42578125" style="151" customWidth="1"/>
    <col min="11" max="11" width="10.140625" style="151" customWidth="1"/>
    <col min="12" max="13" width="8.42578125" style="151" bestFit="1" customWidth="1"/>
    <col min="14" max="16" width="9.42578125" style="151" bestFit="1" customWidth="1"/>
    <col min="17" max="17" width="6.5703125" style="151" bestFit="1" customWidth="1"/>
    <col min="18" max="18" width="11.140625" style="151" bestFit="1" customWidth="1"/>
    <col min="19" max="19" width="9.42578125" style="151" bestFit="1" customWidth="1"/>
    <col min="20" max="20" width="7" style="151" bestFit="1" customWidth="1"/>
    <col min="21" max="21" width="8" style="151" bestFit="1" customWidth="1"/>
    <col min="22" max="22" width="5.85546875" style="151" bestFit="1" customWidth="1"/>
    <col min="23" max="23" width="10.42578125" style="151" bestFit="1" customWidth="1"/>
    <col min="24" max="24" width="2.7109375" style="151" customWidth="1"/>
    <col min="25" max="257" width="8.85546875" style="151"/>
    <col min="258" max="258" width="8" style="151" bestFit="1" customWidth="1"/>
    <col min="259" max="259" width="7" style="151" bestFit="1" customWidth="1"/>
    <col min="260" max="260" width="8" style="151" bestFit="1" customWidth="1"/>
    <col min="261" max="261" width="5.85546875" style="151" bestFit="1" customWidth="1"/>
    <col min="262" max="262" width="7.140625" style="151" bestFit="1" customWidth="1"/>
    <col min="263" max="263" width="10.5703125" style="151" customWidth="1"/>
    <col min="264" max="264" width="11.85546875" style="151" customWidth="1"/>
    <col min="265" max="265" width="11.7109375" style="151" customWidth="1"/>
    <col min="266" max="266" width="9.42578125" style="151" customWidth="1"/>
    <col min="267" max="267" width="10.140625" style="151" customWidth="1"/>
    <col min="268" max="269" width="8.42578125" style="151" bestFit="1" customWidth="1"/>
    <col min="270" max="272" width="9.42578125" style="151" bestFit="1" customWidth="1"/>
    <col min="273" max="273" width="6.5703125" style="151" bestFit="1" customWidth="1"/>
    <col min="274" max="274" width="11.140625" style="151" bestFit="1" customWidth="1"/>
    <col min="275" max="275" width="9.42578125" style="151" bestFit="1" customWidth="1"/>
    <col min="276" max="276" width="7" style="151" bestFit="1" customWidth="1"/>
    <col min="277" max="277" width="8" style="151" bestFit="1" customWidth="1"/>
    <col min="278" max="278" width="5.85546875" style="151" bestFit="1" customWidth="1"/>
    <col min="279" max="279" width="10.42578125" style="151" bestFit="1" customWidth="1"/>
    <col min="280" max="513" width="8.85546875" style="151"/>
    <col min="514" max="514" width="8" style="151" bestFit="1" customWidth="1"/>
    <col min="515" max="515" width="7" style="151" bestFit="1" customWidth="1"/>
    <col min="516" max="516" width="8" style="151" bestFit="1" customWidth="1"/>
    <col min="517" max="517" width="5.85546875" style="151" bestFit="1" customWidth="1"/>
    <col min="518" max="518" width="7.140625" style="151" bestFit="1" customWidth="1"/>
    <col min="519" max="519" width="10.5703125" style="151" customWidth="1"/>
    <col min="520" max="520" width="11.85546875" style="151" customWidth="1"/>
    <col min="521" max="521" width="11.7109375" style="151" customWidth="1"/>
    <col min="522" max="522" width="9.42578125" style="151" customWidth="1"/>
    <col min="523" max="523" width="10.140625" style="151" customWidth="1"/>
    <col min="524" max="525" width="8.42578125" style="151" bestFit="1" customWidth="1"/>
    <col min="526" max="528" width="9.42578125" style="151" bestFit="1" customWidth="1"/>
    <col min="529" max="529" width="6.5703125" style="151" bestFit="1" customWidth="1"/>
    <col min="530" max="530" width="11.140625" style="151" bestFit="1" customWidth="1"/>
    <col min="531" max="531" width="9.42578125" style="151" bestFit="1" customWidth="1"/>
    <col min="532" max="532" width="7" style="151" bestFit="1" customWidth="1"/>
    <col min="533" max="533" width="8" style="151" bestFit="1" customWidth="1"/>
    <col min="534" max="534" width="5.85546875" style="151" bestFit="1" customWidth="1"/>
    <col min="535" max="535" width="10.42578125" style="151" bestFit="1" customWidth="1"/>
    <col min="536" max="769" width="8.85546875" style="151"/>
    <col min="770" max="770" width="8" style="151" bestFit="1" customWidth="1"/>
    <col min="771" max="771" width="7" style="151" bestFit="1" customWidth="1"/>
    <col min="772" max="772" width="8" style="151" bestFit="1" customWidth="1"/>
    <col min="773" max="773" width="5.85546875" style="151" bestFit="1" customWidth="1"/>
    <col min="774" max="774" width="7.140625" style="151" bestFit="1" customWidth="1"/>
    <col min="775" max="775" width="10.5703125" style="151" customWidth="1"/>
    <col min="776" max="776" width="11.85546875" style="151" customWidth="1"/>
    <col min="777" max="777" width="11.7109375" style="151" customWidth="1"/>
    <col min="778" max="778" width="9.42578125" style="151" customWidth="1"/>
    <col min="779" max="779" width="10.140625" style="151" customWidth="1"/>
    <col min="780" max="781" width="8.42578125" style="151" bestFit="1" customWidth="1"/>
    <col min="782" max="784" width="9.42578125" style="151" bestFit="1" customWidth="1"/>
    <col min="785" max="785" width="6.5703125" style="151" bestFit="1" customWidth="1"/>
    <col min="786" max="786" width="11.140625" style="151" bestFit="1" customWidth="1"/>
    <col min="787" max="787" width="9.42578125" style="151" bestFit="1" customWidth="1"/>
    <col min="788" max="788" width="7" style="151" bestFit="1" customWidth="1"/>
    <col min="789" max="789" width="8" style="151" bestFit="1" customWidth="1"/>
    <col min="790" max="790" width="5.85546875" style="151" bestFit="1" customWidth="1"/>
    <col min="791" max="791" width="10.42578125" style="151" bestFit="1" customWidth="1"/>
    <col min="792" max="1025" width="8.85546875" style="151"/>
    <col min="1026" max="1026" width="8" style="151" bestFit="1" customWidth="1"/>
    <col min="1027" max="1027" width="7" style="151" bestFit="1" customWidth="1"/>
    <col min="1028" max="1028" width="8" style="151" bestFit="1" customWidth="1"/>
    <col min="1029" max="1029" width="5.85546875" style="151" bestFit="1" customWidth="1"/>
    <col min="1030" max="1030" width="7.140625" style="151" bestFit="1" customWidth="1"/>
    <col min="1031" max="1031" width="10.5703125" style="151" customWidth="1"/>
    <col min="1032" max="1032" width="11.85546875" style="151" customWidth="1"/>
    <col min="1033" max="1033" width="11.7109375" style="151" customWidth="1"/>
    <col min="1034" max="1034" width="9.42578125" style="151" customWidth="1"/>
    <col min="1035" max="1035" width="10.140625" style="151" customWidth="1"/>
    <col min="1036" max="1037" width="8.42578125" style="151" bestFit="1" customWidth="1"/>
    <col min="1038" max="1040" width="9.42578125" style="151" bestFit="1" customWidth="1"/>
    <col min="1041" max="1041" width="6.5703125" style="151" bestFit="1" customWidth="1"/>
    <col min="1042" max="1042" width="11.140625" style="151" bestFit="1" customWidth="1"/>
    <col min="1043" max="1043" width="9.42578125" style="151" bestFit="1" customWidth="1"/>
    <col min="1044" max="1044" width="7" style="151" bestFit="1" customWidth="1"/>
    <col min="1045" max="1045" width="8" style="151" bestFit="1" customWidth="1"/>
    <col min="1046" max="1046" width="5.85546875" style="151" bestFit="1" customWidth="1"/>
    <col min="1047" max="1047" width="10.42578125" style="151" bestFit="1" customWidth="1"/>
    <col min="1048" max="1281" width="8.85546875" style="151"/>
    <col min="1282" max="1282" width="8" style="151" bestFit="1" customWidth="1"/>
    <col min="1283" max="1283" width="7" style="151" bestFit="1" customWidth="1"/>
    <col min="1284" max="1284" width="8" style="151" bestFit="1" customWidth="1"/>
    <col min="1285" max="1285" width="5.85546875" style="151" bestFit="1" customWidth="1"/>
    <col min="1286" max="1286" width="7.140625" style="151" bestFit="1" customWidth="1"/>
    <col min="1287" max="1287" width="10.5703125" style="151" customWidth="1"/>
    <col min="1288" max="1288" width="11.85546875" style="151" customWidth="1"/>
    <col min="1289" max="1289" width="11.7109375" style="151" customWidth="1"/>
    <col min="1290" max="1290" width="9.42578125" style="151" customWidth="1"/>
    <col min="1291" max="1291" width="10.140625" style="151" customWidth="1"/>
    <col min="1292" max="1293" width="8.42578125" style="151" bestFit="1" customWidth="1"/>
    <col min="1294" max="1296" width="9.42578125" style="151" bestFit="1" customWidth="1"/>
    <col min="1297" max="1297" width="6.5703125" style="151" bestFit="1" customWidth="1"/>
    <col min="1298" max="1298" width="11.140625" style="151" bestFit="1" customWidth="1"/>
    <col min="1299" max="1299" width="9.42578125" style="151" bestFit="1" customWidth="1"/>
    <col min="1300" max="1300" width="7" style="151" bestFit="1" customWidth="1"/>
    <col min="1301" max="1301" width="8" style="151" bestFit="1" customWidth="1"/>
    <col min="1302" max="1302" width="5.85546875" style="151" bestFit="1" customWidth="1"/>
    <col min="1303" max="1303" width="10.42578125" style="151" bestFit="1" customWidth="1"/>
    <col min="1304" max="1537" width="8.85546875" style="151"/>
    <col min="1538" max="1538" width="8" style="151" bestFit="1" customWidth="1"/>
    <col min="1539" max="1539" width="7" style="151" bestFit="1" customWidth="1"/>
    <col min="1540" max="1540" width="8" style="151" bestFit="1" customWidth="1"/>
    <col min="1541" max="1541" width="5.85546875" style="151" bestFit="1" customWidth="1"/>
    <col min="1542" max="1542" width="7.140625" style="151" bestFit="1" customWidth="1"/>
    <col min="1543" max="1543" width="10.5703125" style="151" customWidth="1"/>
    <col min="1544" max="1544" width="11.85546875" style="151" customWidth="1"/>
    <col min="1545" max="1545" width="11.7109375" style="151" customWidth="1"/>
    <col min="1546" max="1546" width="9.42578125" style="151" customWidth="1"/>
    <col min="1547" max="1547" width="10.140625" style="151" customWidth="1"/>
    <col min="1548" max="1549" width="8.42578125" style="151" bestFit="1" customWidth="1"/>
    <col min="1550" max="1552" width="9.42578125" style="151" bestFit="1" customWidth="1"/>
    <col min="1553" max="1553" width="6.5703125" style="151" bestFit="1" customWidth="1"/>
    <col min="1554" max="1554" width="11.140625" style="151" bestFit="1" customWidth="1"/>
    <col min="1555" max="1555" width="9.42578125" style="151" bestFit="1" customWidth="1"/>
    <col min="1556" max="1556" width="7" style="151" bestFit="1" customWidth="1"/>
    <col min="1557" max="1557" width="8" style="151" bestFit="1" customWidth="1"/>
    <col min="1558" max="1558" width="5.85546875" style="151" bestFit="1" customWidth="1"/>
    <col min="1559" max="1559" width="10.42578125" style="151" bestFit="1" customWidth="1"/>
    <col min="1560" max="1793" width="8.85546875" style="151"/>
    <col min="1794" max="1794" width="8" style="151" bestFit="1" customWidth="1"/>
    <col min="1795" max="1795" width="7" style="151" bestFit="1" customWidth="1"/>
    <col min="1796" max="1796" width="8" style="151" bestFit="1" customWidth="1"/>
    <col min="1797" max="1797" width="5.85546875" style="151" bestFit="1" customWidth="1"/>
    <col min="1798" max="1798" width="7.140625" style="151" bestFit="1" customWidth="1"/>
    <col min="1799" max="1799" width="10.5703125" style="151" customWidth="1"/>
    <col min="1800" max="1800" width="11.85546875" style="151" customWidth="1"/>
    <col min="1801" max="1801" width="11.7109375" style="151" customWidth="1"/>
    <col min="1802" max="1802" width="9.42578125" style="151" customWidth="1"/>
    <col min="1803" max="1803" width="10.140625" style="151" customWidth="1"/>
    <col min="1804" max="1805" width="8.42578125" style="151" bestFit="1" customWidth="1"/>
    <col min="1806" max="1808" width="9.42578125" style="151" bestFit="1" customWidth="1"/>
    <col min="1809" max="1809" width="6.5703125" style="151" bestFit="1" customWidth="1"/>
    <col min="1810" max="1810" width="11.140625" style="151" bestFit="1" customWidth="1"/>
    <col min="1811" max="1811" width="9.42578125" style="151" bestFit="1" customWidth="1"/>
    <col min="1812" max="1812" width="7" style="151" bestFit="1" customWidth="1"/>
    <col min="1813" max="1813" width="8" style="151" bestFit="1" customWidth="1"/>
    <col min="1814" max="1814" width="5.85546875" style="151" bestFit="1" customWidth="1"/>
    <col min="1815" max="1815" width="10.42578125" style="151" bestFit="1" customWidth="1"/>
    <col min="1816" max="2049" width="8.85546875" style="151"/>
    <col min="2050" max="2050" width="8" style="151" bestFit="1" customWidth="1"/>
    <col min="2051" max="2051" width="7" style="151" bestFit="1" customWidth="1"/>
    <col min="2052" max="2052" width="8" style="151" bestFit="1" customWidth="1"/>
    <col min="2053" max="2053" width="5.85546875" style="151" bestFit="1" customWidth="1"/>
    <col min="2054" max="2054" width="7.140625" style="151" bestFit="1" customWidth="1"/>
    <col min="2055" max="2055" width="10.5703125" style="151" customWidth="1"/>
    <col min="2056" max="2056" width="11.85546875" style="151" customWidth="1"/>
    <col min="2057" max="2057" width="11.7109375" style="151" customWidth="1"/>
    <col min="2058" max="2058" width="9.42578125" style="151" customWidth="1"/>
    <col min="2059" max="2059" width="10.140625" style="151" customWidth="1"/>
    <col min="2060" max="2061" width="8.42578125" style="151" bestFit="1" customWidth="1"/>
    <col min="2062" max="2064" width="9.42578125" style="151" bestFit="1" customWidth="1"/>
    <col min="2065" max="2065" width="6.5703125" style="151" bestFit="1" customWidth="1"/>
    <col min="2066" max="2066" width="11.140625" style="151" bestFit="1" customWidth="1"/>
    <col min="2067" max="2067" width="9.42578125" style="151" bestFit="1" customWidth="1"/>
    <col min="2068" max="2068" width="7" style="151" bestFit="1" customWidth="1"/>
    <col min="2069" max="2069" width="8" style="151" bestFit="1" customWidth="1"/>
    <col min="2070" max="2070" width="5.85546875" style="151" bestFit="1" customWidth="1"/>
    <col min="2071" max="2071" width="10.42578125" style="151" bestFit="1" customWidth="1"/>
    <col min="2072" max="2305" width="8.85546875" style="151"/>
    <col min="2306" max="2306" width="8" style="151" bestFit="1" customWidth="1"/>
    <col min="2307" max="2307" width="7" style="151" bestFit="1" customWidth="1"/>
    <col min="2308" max="2308" width="8" style="151" bestFit="1" customWidth="1"/>
    <col min="2309" max="2309" width="5.85546875" style="151" bestFit="1" customWidth="1"/>
    <col min="2310" max="2310" width="7.140625" style="151" bestFit="1" customWidth="1"/>
    <col min="2311" max="2311" width="10.5703125" style="151" customWidth="1"/>
    <col min="2312" max="2312" width="11.85546875" style="151" customWidth="1"/>
    <col min="2313" max="2313" width="11.7109375" style="151" customWidth="1"/>
    <col min="2314" max="2314" width="9.42578125" style="151" customWidth="1"/>
    <col min="2315" max="2315" width="10.140625" style="151" customWidth="1"/>
    <col min="2316" max="2317" width="8.42578125" style="151" bestFit="1" customWidth="1"/>
    <col min="2318" max="2320" width="9.42578125" style="151" bestFit="1" customWidth="1"/>
    <col min="2321" max="2321" width="6.5703125" style="151" bestFit="1" customWidth="1"/>
    <col min="2322" max="2322" width="11.140625" style="151" bestFit="1" customWidth="1"/>
    <col min="2323" max="2323" width="9.42578125" style="151" bestFit="1" customWidth="1"/>
    <col min="2324" max="2324" width="7" style="151" bestFit="1" customWidth="1"/>
    <col min="2325" max="2325" width="8" style="151" bestFit="1" customWidth="1"/>
    <col min="2326" max="2326" width="5.85546875" style="151" bestFit="1" customWidth="1"/>
    <col min="2327" max="2327" width="10.42578125" style="151" bestFit="1" customWidth="1"/>
    <col min="2328" max="2561" width="8.85546875" style="151"/>
    <col min="2562" max="2562" width="8" style="151" bestFit="1" customWidth="1"/>
    <col min="2563" max="2563" width="7" style="151" bestFit="1" customWidth="1"/>
    <col min="2564" max="2564" width="8" style="151" bestFit="1" customWidth="1"/>
    <col min="2565" max="2565" width="5.85546875" style="151" bestFit="1" customWidth="1"/>
    <col min="2566" max="2566" width="7.140625" style="151" bestFit="1" customWidth="1"/>
    <col min="2567" max="2567" width="10.5703125" style="151" customWidth="1"/>
    <col min="2568" max="2568" width="11.85546875" style="151" customWidth="1"/>
    <col min="2569" max="2569" width="11.7109375" style="151" customWidth="1"/>
    <col min="2570" max="2570" width="9.42578125" style="151" customWidth="1"/>
    <col min="2571" max="2571" width="10.140625" style="151" customWidth="1"/>
    <col min="2572" max="2573" width="8.42578125" style="151" bestFit="1" customWidth="1"/>
    <col min="2574" max="2576" width="9.42578125" style="151" bestFit="1" customWidth="1"/>
    <col min="2577" max="2577" width="6.5703125" style="151" bestFit="1" customWidth="1"/>
    <col min="2578" max="2578" width="11.140625" style="151" bestFit="1" customWidth="1"/>
    <col min="2579" max="2579" width="9.42578125" style="151" bestFit="1" customWidth="1"/>
    <col min="2580" max="2580" width="7" style="151" bestFit="1" customWidth="1"/>
    <col min="2581" max="2581" width="8" style="151" bestFit="1" customWidth="1"/>
    <col min="2582" max="2582" width="5.85546875" style="151" bestFit="1" customWidth="1"/>
    <col min="2583" max="2583" width="10.42578125" style="151" bestFit="1" customWidth="1"/>
    <col min="2584" max="2817" width="8.85546875" style="151"/>
    <col min="2818" max="2818" width="8" style="151" bestFit="1" customWidth="1"/>
    <col min="2819" max="2819" width="7" style="151" bestFit="1" customWidth="1"/>
    <col min="2820" max="2820" width="8" style="151" bestFit="1" customWidth="1"/>
    <col min="2821" max="2821" width="5.85546875" style="151" bestFit="1" customWidth="1"/>
    <col min="2822" max="2822" width="7.140625" style="151" bestFit="1" customWidth="1"/>
    <col min="2823" max="2823" width="10.5703125" style="151" customWidth="1"/>
    <col min="2824" max="2824" width="11.85546875" style="151" customWidth="1"/>
    <col min="2825" max="2825" width="11.7109375" style="151" customWidth="1"/>
    <col min="2826" max="2826" width="9.42578125" style="151" customWidth="1"/>
    <col min="2827" max="2827" width="10.140625" style="151" customWidth="1"/>
    <col min="2828" max="2829" width="8.42578125" style="151" bestFit="1" customWidth="1"/>
    <col min="2830" max="2832" width="9.42578125" style="151" bestFit="1" customWidth="1"/>
    <col min="2833" max="2833" width="6.5703125" style="151" bestFit="1" customWidth="1"/>
    <col min="2834" max="2834" width="11.140625" style="151" bestFit="1" customWidth="1"/>
    <col min="2835" max="2835" width="9.42578125" style="151" bestFit="1" customWidth="1"/>
    <col min="2836" max="2836" width="7" style="151" bestFit="1" customWidth="1"/>
    <col min="2837" max="2837" width="8" style="151" bestFit="1" customWidth="1"/>
    <col min="2838" max="2838" width="5.85546875" style="151" bestFit="1" customWidth="1"/>
    <col min="2839" max="2839" width="10.42578125" style="151" bestFit="1" customWidth="1"/>
    <col min="2840" max="3073" width="8.85546875" style="151"/>
    <col min="3074" max="3074" width="8" style="151" bestFit="1" customWidth="1"/>
    <col min="3075" max="3075" width="7" style="151" bestFit="1" customWidth="1"/>
    <col min="3076" max="3076" width="8" style="151" bestFit="1" customWidth="1"/>
    <col min="3077" max="3077" width="5.85546875" style="151" bestFit="1" customWidth="1"/>
    <col min="3078" max="3078" width="7.140625" style="151" bestFit="1" customWidth="1"/>
    <col min="3079" max="3079" width="10.5703125" style="151" customWidth="1"/>
    <col min="3080" max="3080" width="11.85546875" style="151" customWidth="1"/>
    <col min="3081" max="3081" width="11.7109375" style="151" customWidth="1"/>
    <col min="3082" max="3082" width="9.42578125" style="151" customWidth="1"/>
    <col min="3083" max="3083" width="10.140625" style="151" customWidth="1"/>
    <col min="3084" max="3085" width="8.42578125" style="151" bestFit="1" customWidth="1"/>
    <col min="3086" max="3088" width="9.42578125" style="151" bestFit="1" customWidth="1"/>
    <col min="3089" max="3089" width="6.5703125" style="151" bestFit="1" customWidth="1"/>
    <col min="3090" max="3090" width="11.140625" style="151" bestFit="1" customWidth="1"/>
    <col min="3091" max="3091" width="9.42578125" style="151" bestFit="1" customWidth="1"/>
    <col min="3092" max="3092" width="7" style="151" bestFit="1" customWidth="1"/>
    <col min="3093" max="3093" width="8" style="151" bestFit="1" customWidth="1"/>
    <col min="3094" max="3094" width="5.85546875" style="151" bestFit="1" customWidth="1"/>
    <col min="3095" max="3095" width="10.42578125" style="151" bestFit="1" customWidth="1"/>
    <col min="3096" max="3329" width="8.85546875" style="151"/>
    <col min="3330" max="3330" width="8" style="151" bestFit="1" customWidth="1"/>
    <col min="3331" max="3331" width="7" style="151" bestFit="1" customWidth="1"/>
    <col min="3332" max="3332" width="8" style="151" bestFit="1" customWidth="1"/>
    <col min="3333" max="3333" width="5.85546875" style="151" bestFit="1" customWidth="1"/>
    <col min="3334" max="3334" width="7.140625" style="151" bestFit="1" customWidth="1"/>
    <col min="3335" max="3335" width="10.5703125" style="151" customWidth="1"/>
    <col min="3336" max="3336" width="11.85546875" style="151" customWidth="1"/>
    <col min="3337" max="3337" width="11.7109375" style="151" customWidth="1"/>
    <col min="3338" max="3338" width="9.42578125" style="151" customWidth="1"/>
    <col min="3339" max="3339" width="10.140625" style="151" customWidth="1"/>
    <col min="3340" max="3341" width="8.42578125" style="151" bestFit="1" customWidth="1"/>
    <col min="3342" max="3344" width="9.42578125" style="151" bestFit="1" customWidth="1"/>
    <col min="3345" max="3345" width="6.5703125" style="151" bestFit="1" customWidth="1"/>
    <col min="3346" max="3346" width="11.140625" style="151" bestFit="1" customWidth="1"/>
    <col min="3347" max="3347" width="9.42578125" style="151" bestFit="1" customWidth="1"/>
    <col min="3348" max="3348" width="7" style="151" bestFit="1" customWidth="1"/>
    <col min="3349" max="3349" width="8" style="151" bestFit="1" customWidth="1"/>
    <col min="3350" max="3350" width="5.85546875" style="151" bestFit="1" customWidth="1"/>
    <col min="3351" max="3351" width="10.42578125" style="151" bestFit="1" customWidth="1"/>
    <col min="3352" max="3585" width="8.85546875" style="151"/>
    <col min="3586" max="3586" width="8" style="151" bestFit="1" customWidth="1"/>
    <col min="3587" max="3587" width="7" style="151" bestFit="1" customWidth="1"/>
    <col min="3588" max="3588" width="8" style="151" bestFit="1" customWidth="1"/>
    <col min="3589" max="3589" width="5.85546875" style="151" bestFit="1" customWidth="1"/>
    <col min="3590" max="3590" width="7.140625" style="151" bestFit="1" customWidth="1"/>
    <col min="3591" max="3591" width="10.5703125" style="151" customWidth="1"/>
    <col min="3592" max="3592" width="11.85546875" style="151" customWidth="1"/>
    <col min="3593" max="3593" width="11.7109375" style="151" customWidth="1"/>
    <col min="3594" max="3594" width="9.42578125" style="151" customWidth="1"/>
    <col min="3595" max="3595" width="10.140625" style="151" customWidth="1"/>
    <col min="3596" max="3597" width="8.42578125" style="151" bestFit="1" customWidth="1"/>
    <col min="3598" max="3600" width="9.42578125" style="151" bestFit="1" customWidth="1"/>
    <col min="3601" max="3601" width="6.5703125" style="151" bestFit="1" customWidth="1"/>
    <col min="3602" max="3602" width="11.140625" style="151" bestFit="1" customWidth="1"/>
    <col min="3603" max="3603" width="9.42578125" style="151" bestFit="1" customWidth="1"/>
    <col min="3604" max="3604" width="7" style="151" bestFit="1" customWidth="1"/>
    <col min="3605" max="3605" width="8" style="151" bestFit="1" customWidth="1"/>
    <col min="3606" max="3606" width="5.85546875" style="151" bestFit="1" customWidth="1"/>
    <col min="3607" max="3607" width="10.42578125" style="151" bestFit="1" customWidth="1"/>
    <col min="3608" max="3841" width="8.85546875" style="151"/>
    <col min="3842" max="3842" width="8" style="151" bestFit="1" customWidth="1"/>
    <col min="3843" max="3843" width="7" style="151" bestFit="1" customWidth="1"/>
    <col min="3844" max="3844" width="8" style="151" bestFit="1" customWidth="1"/>
    <col min="3845" max="3845" width="5.85546875" style="151" bestFit="1" customWidth="1"/>
    <col min="3846" max="3846" width="7.140625" style="151" bestFit="1" customWidth="1"/>
    <col min="3847" max="3847" width="10.5703125" style="151" customWidth="1"/>
    <col min="3848" max="3848" width="11.85546875" style="151" customWidth="1"/>
    <col min="3849" max="3849" width="11.7109375" style="151" customWidth="1"/>
    <col min="3850" max="3850" width="9.42578125" style="151" customWidth="1"/>
    <col min="3851" max="3851" width="10.140625" style="151" customWidth="1"/>
    <col min="3852" max="3853" width="8.42578125" style="151" bestFit="1" customWidth="1"/>
    <col min="3854" max="3856" width="9.42578125" style="151" bestFit="1" customWidth="1"/>
    <col min="3857" max="3857" width="6.5703125" style="151" bestFit="1" customWidth="1"/>
    <col min="3858" max="3858" width="11.140625" style="151" bestFit="1" customWidth="1"/>
    <col min="3859" max="3859" width="9.42578125" style="151" bestFit="1" customWidth="1"/>
    <col min="3860" max="3860" width="7" style="151" bestFit="1" customWidth="1"/>
    <col min="3861" max="3861" width="8" style="151" bestFit="1" customWidth="1"/>
    <col min="3862" max="3862" width="5.85546875" style="151" bestFit="1" customWidth="1"/>
    <col min="3863" max="3863" width="10.42578125" style="151" bestFit="1" customWidth="1"/>
    <col min="3864" max="4097" width="8.85546875" style="151"/>
    <col min="4098" max="4098" width="8" style="151" bestFit="1" customWidth="1"/>
    <col min="4099" max="4099" width="7" style="151" bestFit="1" customWidth="1"/>
    <col min="4100" max="4100" width="8" style="151" bestFit="1" customWidth="1"/>
    <col min="4101" max="4101" width="5.85546875" style="151" bestFit="1" customWidth="1"/>
    <col min="4102" max="4102" width="7.140625" style="151" bestFit="1" customWidth="1"/>
    <col min="4103" max="4103" width="10.5703125" style="151" customWidth="1"/>
    <col min="4104" max="4104" width="11.85546875" style="151" customWidth="1"/>
    <col min="4105" max="4105" width="11.7109375" style="151" customWidth="1"/>
    <col min="4106" max="4106" width="9.42578125" style="151" customWidth="1"/>
    <col min="4107" max="4107" width="10.140625" style="151" customWidth="1"/>
    <col min="4108" max="4109" width="8.42578125" style="151" bestFit="1" customWidth="1"/>
    <col min="4110" max="4112" width="9.42578125" style="151" bestFit="1" customWidth="1"/>
    <col min="4113" max="4113" width="6.5703125" style="151" bestFit="1" customWidth="1"/>
    <col min="4114" max="4114" width="11.140625" style="151" bestFit="1" customWidth="1"/>
    <col min="4115" max="4115" width="9.42578125" style="151" bestFit="1" customWidth="1"/>
    <col min="4116" max="4116" width="7" style="151" bestFit="1" customWidth="1"/>
    <col min="4117" max="4117" width="8" style="151" bestFit="1" customWidth="1"/>
    <col min="4118" max="4118" width="5.85546875" style="151" bestFit="1" customWidth="1"/>
    <col min="4119" max="4119" width="10.42578125" style="151" bestFit="1" customWidth="1"/>
    <col min="4120" max="4353" width="8.85546875" style="151"/>
    <col min="4354" max="4354" width="8" style="151" bestFit="1" customWidth="1"/>
    <col min="4355" max="4355" width="7" style="151" bestFit="1" customWidth="1"/>
    <col min="4356" max="4356" width="8" style="151" bestFit="1" customWidth="1"/>
    <col min="4357" max="4357" width="5.85546875" style="151" bestFit="1" customWidth="1"/>
    <col min="4358" max="4358" width="7.140625" style="151" bestFit="1" customWidth="1"/>
    <col min="4359" max="4359" width="10.5703125" style="151" customWidth="1"/>
    <col min="4360" max="4360" width="11.85546875" style="151" customWidth="1"/>
    <col min="4361" max="4361" width="11.7109375" style="151" customWidth="1"/>
    <col min="4362" max="4362" width="9.42578125" style="151" customWidth="1"/>
    <col min="4363" max="4363" width="10.140625" style="151" customWidth="1"/>
    <col min="4364" max="4365" width="8.42578125" style="151" bestFit="1" customWidth="1"/>
    <col min="4366" max="4368" width="9.42578125" style="151" bestFit="1" customWidth="1"/>
    <col min="4369" max="4369" width="6.5703125" style="151" bestFit="1" customWidth="1"/>
    <col min="4370" max="4370" width="11.140625" style="151" bestFit="1" customWidth="1"/>
    <col min="4371" max="4371" width="9.42578125" style="151" bestFit="1" customWidth="1"/>
    <col min="4372" max="4372" width="7" style="151" bestFit="1" customWidth="1"/>
    <col min="4373" max="4373" width="8" style="151" bestFit="1" customWidth="1"/>
    <col min="4374" max="4374" width="5.85546875" style="151" bestFit="1" customWidth="1"/>
    <col min="4375" max="4375" width="10.42578125" style="151" bestFit="1" customWidth="1"/>
    <col min="4376" max="4609" width="8.85546875" style="151"/>
    <col min="4610" max="4610" width="8" style="151" bestFit="1" customWidth="1"/>
    <col min="4611" max="4611" width="7" style="151" bestFit="1" customWidth="1"/>
    <col min="4612" max="4612" width="8" style="151" bestFit="1" customWidth="1"/>
    <col min="4613" max="4613" width="5.85546875" style="151" bestFit="1" customWidth="1"/>
    <col min="4614" max="4614" width="7.140625" style="151" bestFit="1" customWidth="1"/>
    <col min="4615" max="4615" width="10.5703125" style="151" customWidth="1"/>
    <col min="4616" max="4616" width="11.85546875" style="151" customWidth="1"/>
    <col min="4617" max="4617" width="11.7109375" style="151" customWidth="1"/>
    <col min="4618" max="4618" width="9.42578125" style="151" customWidth="1"/>
    <col min="4619" max="4619" width="10.140625" style="151" customWidth="1"/>
    <col min="4620" max="4621" width="8.42578125" style="151" bestFit="1" customWidth="1"/>
    <col min="4622" max="4624" width="9.42578125" style="151" bestFit="1" customWidth="1"/>
    <col min="4625" max="4625" width="6.5703125" style="151" bestFit="1" customWidth="1"/>
    <col min="4626" max="4626" width="11.140625" style="151" bestFit="1" customWidth="1"/>
    <col min="4627" max="4627" width="9.42578125" style="151" bestFit="1" customWidth="1"/>
    <col min="4628" max="4628" width="7" style="151" bestFit="1" customWidth="1"/>
    <col min="4629" max="4629" width="8" style="151" bestFit="1" customWidth="1"/>
    <col min="4630" max="4630" width="5.85546875" style="151" bestFit="1" customWidth="1"/>
    <col min="4631" max="4631" width="10.42578125" style="151" bestFit="1" customWidth="1"/>
    <col min="4632" max="4865" width="8.85546875" style="151"/>
    <col min="4866" max="4866" width="8" style="151" bestFit="1" customWidth="1"/>
    <col min="4867" max="4867" width="7" style="151" bestFit="1" customWidth="1"/>
    <col min="4868" max="4868" width="8" style="151" bestFit="1" customWidth="1"/>
    <col min="4869" max="4869" width="5.85546875" style="151" bestFit="1" customWidth="1"/>
    <col min="4870" max="4870" width="7.140625" style="151" bestFit="1" customWidth="1"/>
    <col min="4871" max="4871" width="10.5703125" style="151" customWidth="1"/>
    <col min="4872" max="4872" width="11.85546875" style="151" customWidth="1"/>
    <col min="4873" max="4873" width="11.7109375" style="151" customWidth="1"/>
    <col min="4874" max="4874" width="9.42578125" style="151" customWidth="1"/>
    <col min="4875" max="4875" width="10.140625" style="151" customWidth="1"/>
    <col min="4876" max="4877" width="8.42578125" style="151" bestFit="1" customWidth="1"/>
    <col min="4878" max="4880" width="9.42578125" style="151" bestFit="1" customWidth="1"/>
    <col min="4881" max="4881" width="6.5703125" style="151" bestFit="1" customWidth="1"/>
    <col min="4882" max="4882" width="11.140625" style="151" bestFit="1" customWidth="1"/>
    <col min="4883" max="4883" width="9.42578125" style="151" bestFit="1" customWidth="1"/>
    <col min="4884" max="4884" width="7" style="151" bestFit="1" customWidth="1"/>
    <col min="4885" max="4885" width="8" style="151" bestFit="1" customWidth="1"/>
    <col min="4886" max="4886" width="5.85546875" style="151" bestFit="1" customWidth="1"/>
    <col min="4887" max="4887" width="10.42578125" style="151" bestFit="1" customWidth="1"/>
    <col min="4888" max="5121" width="8.85546875" style="151"/>
    <col min="5122" max="5122" width="8" style="151" bestFit="1" customWidth="1"/>
    <col min="5123" max="5123" width="7" style="151" bestFit="1" customWidth="1"/>
    <col min="5124" max="5124" width="8" style="151" bestFit="1" customWidth="1"/>
    <col min="5125" max="5125" width="5.85546875" style="151" bestFit="1" customWidth="1"/>
    <col min="5126" max="5126" width="7.140625" style="151" bestFit="1" customWidth="1"/>
    <col min="5127" max="5127" width="10.5703125" style="151" customWidth="1"/>
    <col min="5128" max="5128" width="11.85546875" style="151" customWidth="1"/>
    <col min="5129" max="5129" width="11.7109375" style="151" customWidth="1"/>
    <col min="5130" max="5130" width="9.42578125" style="151" customWidth="1"/>
    <col min="5131" max="5131" width="10.140625" style="151" customWidth="1"/>
    <col min="5132" max="5133" width="8.42578125" style="151" bestFit="1" customWidth="1"/>
    <col min="5134" max="5136" width="9.42578125" style="151" bestFit="1" customWidth="1"/>
    <col min="5137" max="5137" width="6.5703125" style="151" bestFit="1" customWidth="1"/>
    <col min="5138" max="5138" width="11.140625" style="151" bestFit="1" customWidth="1"/>
    <col min="5139" max="5139" width="9.42578125" style="151" bestFit="1" customWidth="1"/>
    <col min="5140" max="5140" width="7" style="151" bestFit="1" customWidth="1"/>
    <col min="5141" max="5141" width="8" style="151" bestFit="1" customWidth="1"/>
    <col min="5142" max="5142" width="5.85546875" style="151" bestFit="1" customWidth="1"/>
    <col min="5143" max="5143" width="10.42578125" style="151" bestFit="1" customWidth="1"/>
    <col min="5144" max="5377" width="8.85546875" style="151"/>
    <col min="5378" max="5378" width="8" style="151" bestFit="1" customWidth="1"/>
    <col min="5379" max="5379" width="7" style="151" bestFit="1" customWidth="1"/>
    <col min="5380" max="5380" width="8" style="151" bestFit="1" customWidth="1"/>
    <col min="5381" max="5381" width="5.85546875" style="151" bestFit="1" customWidth="1"/>
    <col min="5382" max="5382" width="7.140625" style="151" bestFit="1" customWidth="1"/>
    <col min="5383" max="5383" width="10.5703125" style="151" customWidth="1"/>
    <col min="5384" max="5384" width="11.85546875" style="151" customWidth="1"/>
    <col min="5385" max="5385" width="11.7109375" style="151" customWidth="1"/>
    <col min="5386" max="5386" width="9.42578125" style="151" customWidth="1"/>
    <col min="5387" max="5387" width="10.140625" style="151" customWidth="1"/>
    <col min="5388" max="5389" width="8.42578125" style="151" bestFit="1" customWidth="1"/>
    <col min="5390" max="5392" width="9.42578125" style="151" bestFit="1" customWidth="1"/>
    <col min="5393" max="5393" width="6.5703125" style="151" bestFit="1" customWidth="1"/>
    <col min="5394" max="5394" width="11.140625" style="151" bestFit="1" customWidth="1"/>
    <col min="5395" max="5395" width="9.42578125" style="151" bestFit="1" customWidth="1"/>
    <col min="5396" max="5396" width="7" style="151" bestFit="1" customWidth="1"/>
    <col min="5397" max="5397" width="8" style="151" bestFit="1" customWidth="1"/>
    <col min="5398" max="5398" width="5.85546875" style="151" bestFit="1" customWidth="1"/>
    <col min="5399" max="5399" width="10.42578125" style="151" bestFit="1" customWidth="1"/>
    <col min="5400" max="5633" width="8.85546875" style="151"/>
    <col min="5634" max="5634" width="8" style="151" bestFit="1" customWidth="1"/>
    <col min="5635" max="5635" width="7" style="151" bestFit="1" customWidth="1"/>
    <col min="5636" max="5636" width="8" style="151" bestFit="1" customWidth="1"/>
    <col min="5637" max="5637" width="5.85546875" style="151" bestFit="1" customWidth="1"/>
    <col min="5638" max="5638" width="7.140625" style="151" bestFit="1" customWidth="1"/>
    <col min="5639" max="5639" width="10.5703125" style="151" customWidth="1"/>
    <col min="5640" max="5640" width="11.85546875" style="151" customWidth="1"/>
    <col min="5641" max="5641" width="11.7109375" style="151" customWidth="1"/>
    <col min="5642" max="5642" width="9.42578125" style="151" customWidth="1"/>
    <col min="5643" max="5643" width="10.140625" style="151" customWidth="1"/>
    <col min="5644" max="5645" width="8.42578125" style="151" bestFit="1" customWidth="1"/>
    <col min="5646" max="5648" width="9.42578125" style="151" bestFit="1" customWidth="1"/>
    <col min="5649" max="5649" width="6.5703125" style="151" bestFit="1" customWidth="1"/>
    <col min="5650" max="5650" width="11.140625" style="151" bestFit="1" customWidth="1"/>
    <col min="5651" max="5651" width="9.42578125" style="151" bestFit="1" customWidth="1"/>
    <col min="5652" max="5652" width="7" style="151" bestFit="1" customWidth="1"/>
    <col min="5653" max="5653" width="8" style="151" bestFit="1" customWidth="1"/>
    <col min="5654" max="5654" width="5.85546875" style="151" bestFit="1" customWidth="1"/>
    <col min="5655" max="5655" width="10.42578125" style="151" bestFit="1" customWidth="1"/>
    <col min="5656" max="5889" width="8.85546875" style="151"/>
    <col min="5890" max="5890" width="8" style="151" bestFit="1" customWidth="1"/>
    <col min="5891" max="5891" width="7" style="151" bestFit="1" customWidth="1"/>
    <col min="5892" max="5892" width="8" style="151" bestFit="1" customWidth="1"/>
    <col min="5893" max="5893" width="5.85546875" style="151" bestFit="1" customWidth="1"/>
    <col min="5894" max="5894" width="7.140625" style="151" bestFit="1" customWidth="1"/>
    <col min="5895" max="5895" width="10.5703125" style="151" customWidth="1"/>
    <col min="5896" max="5896" width="11.85546875" style="151" customWidth="1"/>
    <col min="5897" max="5897" width="11.7109375" style="151" customWidth="1"/>
    <col min="5898" max="5898" width="9.42578125" style="151" customWidth="1"/>
    <col min="5899" max="5899" width="10.140625" style="151" customWidth="1"/>
    <col min="5900" max="5901" width="8.42578125" style="151" bestFit="1" customWidth="1"/>
    <col min="5902" max="5904" width="9.42578125" style="151" bestFit="1" customWidth="1"/>
    <col min="5905" max="5905" width="6.5703125" style="151" bestFit="1" customWidth="1"/>
    <col min="5906" max="5906" width="11.140625" style="151" bestFit="1" customWidth="1"/>
    <col min="5907" max="5907" width="9.42578125" style="151" bestFit="1" customWidth="1"/>
    <col min="5908" max="5908" width="7" style="151" bestFit="1" customWidth="1"/>
    <col min="5909" max="5909" width="8" style="151" bestFit="1" customWidth="1"/>
    <col min="5910" max="5910" width="5.85546875" style="151" bestFit="1" customWidth="1"/>
    <col min="5911" max="5911" width="10.42578125" style="151" bestFit="1" customWidth="1"/>
    <col min="5912" max="6145" width="8.85546875" style="151"/>
    <col min="6146" max="6146" width="8" style="151" bestFit="1" customWidth="1"/>
    <col min="6147" max="6147" width="7" style="151" bestFit="1" customWidth="1"/>
    <col min="6148" max="6148" width="8" style="151" bestFit="1" customWidth="1"/>
    <col min="6149" max="6149" width="5.85546875" style="151" bestFit="1" customWidth="1"/>
    <col min="6150" max="6150" width="7.140625" style="151" bestFit="1" customWidth="1"/>
    <col min="6151" max="6151" width="10.5703125" style="151" customWidth="1"/>
    <col min="6152" max="6152" width="11.85546875" style="151" customWidth="1"/>
    <col min="6153" max="6153" width="11.7109375" style="151" customWidth="1"/>
    <col min="6154" max="6154" width="9.42578125" style="151" customWidth="1"/>
    <col min="6155" max="6155" width="10.140625" style="151" customWidth="1"/>
    <col min="6156" max="6157" width="8.42578125" style="151" bestFit="1" customWidth="1"/>
    <col min="6158" max="6160" width="9.42578125" style="151" bestFit="1" customWidth="1"/>
    <col min="6161" max="6161" width="6.5703125" style="151" bestFit="1" customWidth="1"/>
    <col min="6162" max="6162" width="11.140625" style="151" bestFit="1" customWidth="1"/>
    <col min="6163" max="6163" width="9.42578125" style="151" bestFit="1" customWidth="1"/>
    <col min="6164" max="6164" width="7" style="151" bestFit="1" customWidth="1"/>
    <col min="6165" max="6165" width="8" style="151" bestFit="1" customWidth="1"/>
    <col min="6166" max="6166" width="5.85546875" style="151" bestFit="1" customWidth="1"/>
    <col min="6167" max="6167" width="10.42578125" style="151" bestFit="1" customWidth="1"/>
    <col min="6168" max="6401" width="8.85546875" style="151"/>
    <col min="6402" max="6402" width="8" style="151" bestFit="1" customWidth="1"/>
    <col min="6403" max="6403" width="7" style="151" bestFit="1" customWidth="1"/>
    <col min="6404" max="6404" width="8" style="151" bestFit="1" customWidth="1"/>
    <col min="6405" max="6405" width="5.85546875" style="151" bestFit="1" customWidth="1"/>
    <col min="6406" max="6406" width="7.140625" style="151" bestFit="1" customWidth="1"/>
    <col min="6407" max="6407" width="10.5703125" style="151" customWidth="1"/>
    <col min="6408" max="6408" width="11.85546875" style="151" customWidth="1"/>
    <col min="6409" max="6409" width="11.7109375" style="151" customWidth="1"/>
    <col min="6410" max="6410" width="9.42578125" style="151" customWidth="1"/>
    <col min="6411" max="6411" width="10.140625" style="151" customWidth="1"/>
    <col min="6412" max="6413" width="8.42578125" style="151" bestFit="1" customWidth="1"/>
    <col min="6414" max="6416" width="9.42578125" style="151" bestFit="1" customWidth="1"/>
    <col min="6417" max="6417" width="6.5703125" style="151" bestFit="1" customWidth="1"/>
    <col min="6418" max="6418" width="11.140625" style="151" bestFit="1" customWidth="1"/>
    <col min="6419" max="6419" width="9.42578125" style="151" bestFit="1" customWidth="1"/>
    <col min="6420" max="6420" width="7" style="151" bestFit="1" customWidth="1"/>
    <col min="6421" max="6421" width="8" style="151" bestFit="1" customWidth="1"/>
    <col min="6422" max="6422" width="5.85546875" style="151" bestFit="1" customWidth="1"/>
    <col min="6423" max="6423" width="10.42578125" style="151" bestFit="1" customWidth="1"/>
    <col min="6424" max="6657" width="8.85546875" style="151"/>
    <col min="6658" max="6658" width="8" style="151" bestFit="1" customWidth="1"/>
    <col min="6659" max="6659" width="7" style="151" bestFit="1" customWidth="1"/>
    <col min="6660" max="6660" width="8" style="151" bestFit="1" customWidth="1"/>
    <col min="6661" max="6661" width="5.85546875" style="151" bestFit="1" customWidth="1"/>
    <col min="6662" max="6662" width="7.140625" style="151" bestFit="1" customWidth="1"/>
    <col min="6663" max="6663" width="10.5703125" style="151" customWidth="1"/>
    <col min="6664" max="6664" width="11.85546875" style="151" customWidth="1"/>
    <col min="6665" max="6665" width="11.7109375" style="151" customWidth="1"/>
    <col min="6666" max="6666" width="9.42578125" style="151" customWidth="1"/>
    <col min="6667" max="6667" width="10.140625" style="151" customWidth="1"/>
    <col min="6668" max="6669" width="8.42578125" style="151" bestFit="1" customWidth="1"/>
    <col min="6670" max="6672" width="9.42578125" style="151" bestFit="1" customWidth="1"/>
    <col min="6673" max="6673" width="6.5703125" style="151" bestFit="1" customWidth="1"/>
    <col min="6674" max="6674" width="11.140625" style="151" bestFit="1" customWidth="1"/>
    <col min="6675" max="6675" width="9.42578125" style="151" bestFit="1" customWidth="1"/>
    <col min="6676" max="6676" width="7" style="151" bestFit="1" customWidth="1"/>
    <col min="6677" max="6677" width="8" style="151" bestFit="1" customWidth="1"/>
    <col min="6678" max="6678" width="5.85546875" style="151" bestFit="1" customWidth="1"/>
    <col min="6679" max="6679" width="10.42578125" style="151" bestFit="1" customWidth="1"/>
    <col min="6680" max="6913" width="8.85546875" style="151"/>
    <col min="6914" max="6914" width="8" style="151" bestFit="1" customWidth="1"/>
    <col min="6915" max="6915" width="7" style="151" bestFit="1" customWidth="1"/>
    <col min="6916" max="6916" width="8" style="151" bestFit="1" customWidth="1"/>
    <col min="6917" max="6917" width="5.85546875" style="151" bestFit="1" customWidth="1"/>
    <col min="6918" max="6918" width="7.140625" style="151" bestFit="1" customWidth="1"/>
    <col min="6919" max="6919" width="10.5703125" style="151" customWidth="1"/>
    <col min="6920" max="6920" width="11.85546875" style="151" customWidth="1"/>
    <col min="6921" max="6921" width="11.7109375" style="151" customWidth="1"/>
    <col min="6922" max="6922" width="9.42578125" style="151" customWidth="1"/>
    <col min="6923" max="6923" width="10.140625" style="151" customWidth="1"/>
    <col min="6924" max="6925" width="8.42578125" style="151" bestFit="1" customWidth="1"/>
    <col min="6926" max="6928" width="9.42578125" style="151" bestFit="1" customWidth="1"/>
    <col min="6929" max="6929" width="6.5703125" style="151" bestFit="1" customWidth="1"/>
    <col min="6930" max="6930" width="11.140625" style="151" bestFit="1" customWidth="1"/>
    <col min="6931" max="6931" width="9.42578125" style="151" bestFit="1" customWidth="1"/>
    <col min="6932" max="6932" width="7" style="151" bestFit="1" customWidth="1"/>
    <col min="6933" max="6933" width="8" style="151" bestFit="1" customWidth="1"/>
    <col min="6934" max="6934" width="5.85546875" style="151" bestFit="1" customWidth="1"/>
    <col min="6935" max="6935" width="10.42578125" style="151" bestFit="1" customWidth="1"/>
    <col min="6936" max="7169" width="8.85546875" style="151"/>
    <col min="7170" max="7170" width="8" style="151" bestFit="1" customWidth="1"/>
    <col min="7171" max="7171" width="7" style="151" bestFit="1" customWidth="1"/>
    <col min="7172" max="7172" width="8" style="151" bestFit="1" customWidth="1"/>
    <col min="7173" max="7173" width="5.85546875" style="151" bestFit="1" customWidth="1"/>
    <col min="7174" max="7174" width="7.140625" style="151" bestFit="1" customWidth="1"/>
    <col min="7175" max="7175" width="10.5703125" style="151" customWidth="1"/>
    <col min="7176" max="7176" width="11.85546875" style="151" customWidth="1"/>
    <col min="7177" max="7177" width="11.7109375" style="151" customWidth="1"/>
    <col min="7178" max="7178" width="9.42578125" style="151" customWidth="1"/>
    <col min="7179" max="7179" width="10.140625" style="151" customWidth="1"/>
    <col min="7180" max="7181" width="8.42578125" style="151" bestFit="1" customWidth="1"/>
    <col min="7182" max="7184" width="9.42578125" style="151" bestFit="1" customWidth="1"/>
    <col min="7185" max="7185" width="6.5703125" style="151" bestFit="1" customWidth="1"/>
    <col min="7186" max="7186" width="11.140625" style="151" bestFit="1" customWidth="1"/>
    <col min="7187" max="7187" width="9.42578125" style="151" bestFit="1" customWidth="1"/>
    <col min="7188" max="7188" width="7" style="151" bestFit="1" customWidth="1"/>
    <col min="7189" max="7189" width="8" style="151" bestFit="1" customWidth="1"/>
    <col min="7190" max="7190" width="5.85546875" style="151" bestFit="1" customWidth="1"/>
    <col min="7191" max="7191" width="10.42578125" style="151" bestFit="1" customWidth="1"/>
    <col min="7192" max="7425" width="8.85546875" style="151"/>
    <col min="7426" max="7426" width="8" style="151" bestFit="1" customWidth="1"/>
    <col min="7427" max="7427" width="7" style="151" bestFit="1" customWidth="1"/>
    <col min="7428" max="7428" width="8" style="151" bestFit="1" customWidth="1"/>
    <col min="7429" max="7429" width="5.85546875" style="151" bestFit="1" customWidth="1"/>
    <col min="7430" max="7430" width="7.140625" style="151" bestFit="1" customWidth="1"/>
    <col min="7431" max="7431" width="10.5703125" style="151" customWidth="1"/>
    <col min="7432" max="7432" width="11.85546875" style="151" customWidth="1"/>
    <col min="7433" max="7433" width="11.7109375" style="151" customWidth="1"/>
    <col min="7434" max="7434" width="9.42578125" style="151" customWidth="1"/>
    <col min="7435" max="7435" width="10.140625" style="151" customWidth="1"/>
    <col min="7436" max="7437" width="8.42578125" style="151" bestFit="1" customWidth="1"/>
    <col min="7438" max="7440" width="9.42578125" style="151" bestFit="1" customWidth="1"/>
    <col min="7441" max="7441" width="6.5703125" style="151" bestFit="1" customWidth="1"/>
    <col min="7442" max="7442" width="11.140625" style="151" bestFit="1" customWidth="1"/>
    <col min="7443" max="7443" width="9.42578125" style="151" bestFit="1" customWidth="1"/>
    <col min="7444" max="7444" width="7" style="151" bestFit="1" customWidth="1"/>
    <col min="7445" max="7445" width="8" style="151" bestFit="1" customWidth="1"/>
    <col min="7446" max="7446" width="5.85546875" style="151" bestFit="1" customWidth="1"/>
    <col min="7447" max="7447" width="10.42578125" style="151" bestFit="1" customWidth="1"/>
    <col min="7448" max="7681" width="8.85546875" style="151"/>
    <col min="7682" max="7682" width="8" style="151" bestFit="1" customWidth="1"/>
    <col min="7683" max="7683" width="7" style="151" bestFit="1" customWidth="1"/>
    <col min="7684" max="7684" width="8" style="151" bestFit="1" customWidth="1"/>
    <col min="7685" max="7685" width="5.85546875" style="151" bestFit="1" customWidth="1"/>
    <col min="7686" max="7686" width="7.140625" style="151" bestFit="1" customWidth="1"/>
    <col min="7687" max="7687" width="10.5703125" style="151" customWidth="1"/>
    <col min="7688" max="7688" width="11.85546875" style="151" customWidth="1"/>
    <col min="7689" max="7689" width="11.7109375" style="151" customWidth="1"/>
    <col min="7690" max="7690" width="9.42578125" style="151" customWidth="1"/>
    <col min="7691" max="7691" width="10.140625" style="151" customWidth="1"/>
    <col min="7692" max="7693" width="8.42578125" style="151" bestFit="1" customWidth="1"/>
    <col min="7694" max="7696" width="9.42578125" style="151" bestFit="1" customWidth="1"/>
    <col min="7697" max="7697" width="6.5703125" style="151" bestFit="1" customWidth="1"/>
    <col min="7698" max="7698" width="11.140625" style="151" bestFit="1" customWidth="1"/>
    <col min="7699" max="7699" width="9.42578125" style="151" bestFit="1" customWidth="1"/>
    <col min="7700" max="7700" width="7" style="151" bestFit="1" customWidth="1"/>
    <col min="7701" max="7701" width="8" style="151" bestFit="1" customWidth="1"/>
    <col min="7702" max="7702" width="5.85546875" style="151" bestFit="1" customWidth="1"/>
    <col min="7703" max="7703" width="10.42578125" style="151" bestFit="1" customWidth="1"/>
    <col min="7704" max="7937" width="8.85546875" style="151"/>
    <col min="7938" max="7938" width="8" style="151" bestFit="1" customWidth="1"/>
    <col min="7939" max="7939" width="7" style="151" bestFit="1" customWidth="1"/>
    <col min="7940" max="7940" width="8" style="151" bestFit="1" customWidth="1"/>
    <col min="7941" max="7941" width="5.85546875" style="151" bestFit="1" customWidth="1"/>
    <col min="7942" max="7942" width="7.140625" style="151" bestFit="1" customWidth="1"/>
    <col min="7943" max="7943" width="10.5703125" style="151" customWidth="1"/>
    <col min="7944" max="7944" width="11.85546875" style="151" customWidth="1"/>
    <col min="7945" max="7945" width="11.7109375" style="151" customWidth="1"/>
    <col min="7946" max="7946" width="9.42578125" style="151" customWidth="1"/>
    <col min="7947" max="7947" width="10.140625" style="151" customWidth="1"/>
    <col min="7948" max="7949" width="8.42578125" style="151" bestFit="1" customWidth="1"/>
    <col min="7950" max="7952" width="9.42578125" style="151" bestFit="1" customWidth="1"/>
    <col min="7953" max="7953" width="6.5703125" style="151" bestFit="1" customWidth="1"/>
    <col min="7954" max="7954" width="11.140625" style="151" bestFit="1" customWidth="1"/>
    <col min="7955" max="7955" width="9.42578125" style="151" bestFit="1" customWidth="1"/>
    <col min="7956" max="7956" width="7" style="151" bestFit="1" customWidth="1"/>
    <col min="7957" max="7957" width="8" style="151" bestFit="1" customWidth="1"/>
    <col min="7958" max="7958" width="5.85546875" style="151" bestFit="1" customWidth="1"/>
    <col min="7959" max="7959" width="10.42578125" style="151" bestFit="1" customWidth="1"/>
    <col min="7960" max="8193" width="8.85546875" style="151"/>
    <col min="8194" max="8194" width="8" style="151" bestFit="1" customWidth="1"/>
    <col min="8195" max="8195" width="7" style="151" bestFit="1" customWidth="1"/>
    <col min="8196" max="8196" width="8" style="151" bestFit="1" customWidth="1"/>
    <col min="8197" max="8197" width="5.85546875" style="151" bestFit="1" customWidth="1"/>
    <col min="8198" max="8198" width="7.140625" style="151" bestFit="1" customWidth="1"/>
    <col min="8199" max="8199" width="10.5703125" style="151" customWidth="1"/>
    <col min="8200" max="8200" width="11.85546875" style="151" customWidth="1"/>
    <col min="8201" max="8201" width="11.7109375" style="151" customWidth="1"/>
    <col min="8202" max="8202" width="9.42578125" style="151" customWidth="1"/>
    <col min="8203" max="8203" width="10.140625" style="151" customWidth="1"/>
    <col min="8204" max="8205" width="8.42578125" style="151" bestFit="1" customWidth="1"/>
    <col min="8206" max="8208" width="9.42578125" style="151" bestFit="1" customWidth="1"/>
    <col min="8209" max="8209" width="6.5703125" style="151" bestFit="1" customWidth="1"/>
    <col min="8210" max="8210" width="11.140625" style="151" bestFit="1" customWidth="1"/>
    <col min="8211" max="8211" width="9.42578125" style="151" bestFit="1" customWidth="1"/>
    <col min="8212" max="8212" width="7" style="151" bestFit="1" customWidth="1"/>
    <col min="8213" max="8213" width="8" style="151" bestFit="1" customWidth="1"/>
    <col min="8214" max="8214" width="5.85546875" style="151" bestFit="1" customWidth="1"/>
    <col min="8215" max="8215" width="10.42578125" style="151" bestFit="1" customWidth="1"/>
    <col min="8216" max="8449" width="8.85546875" style="151"/>
    <col min="8450" max="8450" width="8" style="151" bestFit="1" customWidth="1"/>
    <col min="8451" max="8451" width="7" style="151" bestFit="1" customWidth="1"/>
    <col min="8452" max="8452" width="8" style="151" bestFit="1" customWidth="1"/>
    <col min="8453" max="8453" width="5.85546875" style="151" bestFit="1" customWidth="1"/>
    <col min="8454" max="8454" width="7.140625" style="151" bestFit="1" customWidth="1"/>
    <col min="8455" max="8455" width="10.5703125" style="151" customWidth="1"/>
    <col min="8456" max="8456" width="11.85546875" style="151" customWidth="1"/>
    <col min="8457" max="8457" width="11.7109375" style="151" customWidth="1"/>
    <col min="8458" max="8458" width="9.42578125" style="151" customWidth="1"/>
    <col min="8459" max="8459" width="10.140625" style="151" customWidth="1"/>
    <col min="8460" max="8461" width="8.42578125" style="151" bestFit="1" customWidth="1"/>
    <col min="8462" max="8464" width="9.42578125" style="151" bestFit="1" customWidth="1"/>
    <col min="8465" max="8465" width="6.5703125" style="151" bestFit="1" customWidth="1"/>
    <col min="8466" max="8466" width="11.140625" style="151" bestFit="1" customWidth="1"/>
    <col min="8467" max="8467" width="9.42578125" style="151" bestFit="1" customWidth="1"/>
    <col min="8468" max="8468" width="7" style="151" bestFit="1" customWidth="1"/>
    <col min="8469" max="8469" width="8" style="151" bestFit="1" customWidth="1"/>
    <col min="8470" max="8470" width="5.85546875" style="151" bestFit="1" customWidth="1"/>
    <col min="8471" max="8471" width="10.42578125" style="151" bestFit="1" customWidth="1"/>
    <col min="8472" max="8705" width="8.85546875" style="151"/>
    <col min="8706" max="8706" width="8" style="151" bestFit="1" customWidth="1"/>
    <col min="8707" max="8707" width="7" style="151" bestFit="1" customWidth="1"/>
    <col min="8708" max="8708" width="8" style="151" bestFit="1" customWidth="1"/>
    <col min="8709" max="8709" width="5.85546875" style="151" bestFit="1" customWidth="1"/>
    <col min="8710" max="8710" width="7.140625" style="151" bestFit="1" customWidth="1"/>
    <col min="8711" max="8711" width="10.5703125" style="151" customWidth="1"/>
    <col min="8712" max="8712" width="11.85546875" style="151" customWidth="1"/>
    <col min="8713" max="8713" width="11.7109375" style="151" customWidth="1"/>
    <col min="8714" max="8714" width="9.42578125" style="151" customWidth="1"/>
    <col min="8715" max="8715" width="10.140625" style="151" customWidth="1"/>
    <col min="8716" max="8717" width="8.42578125" style="151" bestFit="1" customWidth="1"/>
    <col min="8718" max="8720" width="9.42578125" style="151" bestFit="1" customWidth="1"/>
    <col min="8721" max="8721" width="6.5703125" style="151" bestFit="1" customWidth="1"/>
    <col min="8722" max="8722" width="11.140625" style="151" bestFit="1" customWidth="1"/>
    <col min="8723" max="8723" width="9.42578125" style="151" bestFit="1" customWidth="1"/>
    <col min="8724" max="8724" width="7" style="151" bestFit="1" customWidth="1"/>
    <col min="8725" max="8725" width="8" style="151" bestFit="1" customWidth="1"/>
    <col min="8726" max="8726" width="5.85546875" style="151" bestFit="1" customWidth="1"/>
    <col min="8727" max="8727" width="10.42578125" style="151" bestFit="1" customWidth="1"/>
    <col min="8728" max="8961" width="8.85546875" style="151"/>
    <col min="8962" max="8962" width="8" style="151" bestFit="1" customWidth="1"/>
    <col min="8963" max="8963" width="7" style="151" bestFit="1" customWidth="1"/>
    <col min="8964" max="8964" width="8" style="151" bestFit="1" customWidth="1"/>
    <col min="8965" max="8965" width="5.85546875" style="151" bestFit="1" customWidth="1"/>
    <col min="8966" max="8966" width="7.140625" style="151" bestFit="1" customWidth="1"/>
    <col min="8967" max="8967" width="10.5703125" style="151" customWidth="1"/>
    <col min="8968" max="8968" width="11.85546875" style="151" customWidth="1"/>
    <col min="8969" max="8969" width="11.7109375" style="151" customWidth="1"/>
    <col min="8970" max="8970" width="9.42578125" style="151" customWidth="1"/>
    <col min="8971" max="8971" width="10.140625" style="151" customWidth="1"/>
    <col min="8972" max="8973" width="8.42578125" style="151" bestFit="1" customWidth="1"/>
    <col min="8974" max="8976" width="9.42578125" style="151" bestFit="1" customWidth="1"/>
    <col min="8977" max="8977" width="6.5703125" style="151" bestFit="1" customWidth="1"/>
    <col min="8978" max="8978" width="11.140625" style="151" bestFit="1" customWidth="1"/>
    <col min="8979" max="8979" width="9.42578125" style="151" bestFit="1" customWidth="1"/>
    <col min="8980" max="8980" width="7" style="151" bestFit="1" customWidth="1"/>
    <col min="8981" max="8981" width="8" style="151" bestFit="1" customWidth="1"/>
    <col min="8982" max="8982" width="5.85546875" style="151" bestFit="1" customWidth="1"/>
    <col min="8983" max="8983" width="10.42578125" style="151" bestFit="1" customWidth="1"/>
    <col min="8984" max="9217" width="8.85546875" style="151"/>
    <col min="9218" max="9218" width="8" style="151" bestFit="1" customWidth="1"/>
    <col min="9219" max="9219" width="7" style="151" bestFit="1" customWidth="1"/>
    <col min="9220" max="9220" width="8" style="151" bestFit="1" customWidth="1"/>
    <col min="9221" max="9221" width="5.85546875" style="151" bestFit="1" customWidth="1"/>
    <col min="9222" max="9222" width="7.140625" style="151" bestFit="1" customWidth="1"/>
    <col min="9223" max="9223" width="10.5703125" style="151" customWidth="1"/>
    <col min="9224" max="9224" width="11.85546875" style="151" customWidth="1"/>
    <col min="9225" max="9225" width="11.7109375" style="151" customWidth="1"/>
    <col min="9226" max="9226" width="9.42578125" style="151" customWidth="1"/>
    <col min="9227" max="9227" width="10.140625" style="151" customWidth="1"/>
    <col min="9228" max="9229" width="8.42578125" style="151" bestFit="1" customWidth="1"/>
    <col min="9230" max="9232" width="9.42578125" style="151" bestFit="1" customWidth="1"/>
    <col min="9233" max="9233" width="6.5703125" style="151" bestFit="1" customWidth="1"/>
    <col min="9234" max="9234" width="11.140625" style="151" bestFit="1" customWidth="1"/>
    <col min="9235" max="9235" width="9.42578125" style="151" bestFit="1" customWidth="1"/>
    <col min="9236" max="9236" width="7" style="151" bestFit="1" customWidth="1"/>
    <col min="9237" max="9237" width="8" style="151" bestFit="1" customWidth="1"/>
    <col min="9238" max="9238" width="5.85546875" style="151" bestFit="1" customWidth="1"/>
    <col min="9239" max="9239" width="10.42578125" style="151" bestFit="1" customWidth="1"/>
    <col min="9240" max="9473" width="8.85546875" style="151"/>
    <col min="9474" max="9474" width="8" style="151" bestFit="1" customWidth="1"/>
    <col min="9475" max="9475" width="7" style="151" bestFit="1" customWidth="1"/>
    <col min="9476" max="9476" width="8" style="151" bestFit="1" customWidth="1"/>
    <col min="9477" max="9477" width="5.85546875" style="151" bestFit="1" customWidth="1"/>
    <col min="9478" max="9478" width="7.140625" style="151" bestFit="1" customWidth="1"/>
    <col min="9479" max="9479" width="10.5703125" style="151" customWidth="1"/>
    <col min="9480" max="9480" width="11.85546875" style="151" customWidth="1"/>
    <col min="9481" max="9481" width="11.7109375" style="151" customWidth="1"/>
    <col min="9482" max="9482" width="9.42578125" style="151" customWidth="1"/>
    <col min="9483" max="9483" width="10.140625" style="151" customWidth="1"/>
    <col min="9484" max="9485" width="8.42578125" style="151" bestFit="1" customWidth="1"/>
    <col min="9486" max="9488" width="9.42578125" style="151" bestFit="1" customWidth="1"/>
    <col min="9489" max="9489" width="6.5703125" style="151" bestFit="1" customWidth="1"/>
    <col min="9490" max="9490" width="11.140625" style="151" bestFit="1" customWidth="1"/>
    <col min="9491" max="9491" width="9.42578125" style="151" bestFit="1" customWidth="1"/>
    <col min="9492" max="9492" width="7" style="151" bestFit="1" customWidth="1"/>
    <col min="9493" max="9493" width="8" style="151" bestFit="1" customWidth="1"/>
    <col min="9494" max="9494" width="5.85546875" style="151" bestFit="1" customWidth="1"/>
    <col min="9495" max="9495" width="10.42578125" style="151" bestFit="1" customWidth="1"/>
    <col min="9496" max="9729" width="8.85546875" style="151"/>
    <col min="9730" max="9730" width="8" style="151" bestFit="1" customWidth="1"/>
    <col min="9731" max="9731" width="7" style="151" bestFit="1" customWidth="1"/>
    <col min="9732" max="9732" width="8" style="151" bestFit="1" customWidth="1"/>
    <col min="9733" max="9733" width="5.85546875" style="151" bestFit="1" customWidth="1"/>
    <col min="9734" max="9734" width="7.140625" style="151" bestFit="1" customWidth="1"/>
    <col min="9735" max="9735" width="10.5703125" style="151" customWidth="1"/>
    <col min="9736" max="9736" width="11.85546875" style="151" customWidth="1"/>
    <col min="9737" max="9737" width="11.7109375" style="151" customWidth="1"/>
    <col min="9738" max="9738" width="9.42578125" style="151" customWidth="1"/>
    <col min="9739" max="9739" width="10.140625" style="151" customWidth="1"/>
    <col min="9740" max="9741" width="8.42578125" style="151" bestFit="1" customWidth="1"/>
    <col min="9742" max="9744" width="9.42578125" style="151" bestFit="1" customWidth="1"/>
    <col min="9745" max="9745" width="6.5703125" style="151" bestFit="1" customWidth="1"/>
    <col min="9746" max="9746" width="11.140625" style="151" bestFit="1" customWidth="1"/>
    <col min="9747" max="9747" width="9.42578125" style="151" bestFit="1" customWidth="1"/>
    <col min="9748" max="9748" width="7" style="151" bestFit="1" customWidth="1"/>
    <col min="9749" max="9749" width="8" style="151" bestFit="1" customWidth="1"/>
    <col min="9750" max="9750" width="5.85546875" style="151" bestFit="1" customWidth="1"/>
    <col min="9751" max="9751" width="10.42578125" style="151" bestFit="1" customWidth="1"/>
    <col min="9752" max="9985" width="8.85546875" style="151"/>
    <col min="9986" max="9986" width="8" style="151" bestFit="1" customWidth="1"/>
    <col min="9987" max="9987" width="7" style="151" bestFit="1" customWidth="1"/>
    <col min="9988" max="9988" width="8" style="151" bestFit="1" customWidth="1"/>
    <col min="9989" max="9989" width="5.85546875" style="151" bestFit="1" customWidth="1"/>
    <col min="9990" max="9990" width="7.140625" style="151" bestFit="1" customWidth="1"/>
    <col min="9991" max="9991" width="10.5703125" style="151" customWidth="1"/>
    <col min="9992" max="9992" width="11.85546875" style="151" customWidth="1"/>
    <col min="9993" max="9993" width="11.7109375" style="151" customWidth="1"/>
    <col min="9994" max="9994" width="9.42578125" style="151" customWidth="1"/>
    <col min="9995" max="9995" width="10.140625" style="151" customWidth="1"/>
    <col min="9996" max="9997" width="8.42578125" style="151" bestFit="1" customWidth="1"/>
    <col min="9998" max="10000" width="9.42578125" style="151" bestFit="1" customWidth="1"/>
    <col min="10001" max="10001" width="6.5703125" style="151" bestFit="1" customWidth="1"/>
    <col min="10002" max="10002" width="11.140625" style="151" bestFit="1" customWidth="1"/>
    <col min="10003" max="10003" width="9.42578125" style="151" bestFit="1" customWidth="1"/>
    <col min="10004" max="10004" width="7" style="151" bestFit="1" customWidth="1"/>
    <col min="10005" max="10005" width="8" style="151" bestFit="1" customWidth="1"/>
    <col min="10006" max="10006" width="5.85546875" style="151" bestFit="1" customWidth="1"/>
    <col min="10007" max="10007" width="10.42578125" style="151" bestFit="1" customWidth="1"/>
    <col min="10008" max="10241" width="8.85546875" style="151"/>
    <col min="10242" max="10242" width="8" style="151" bestFit="1" customWidth="1"/>
    <col min="10243" max="10243" width="7" style="151" bestFit="1" customWidth="1"/>
    <col min="10244" max="10244" width="8" style="151" bestFit="1" customWidth="1"/>
    <col min="10245" max="10245" width="5.85546875" style="151" bestFit="1" customWidth="1"/>
    <col min="10246" max="10246" width="7.140625" style="151" bestFit="1" customWidth="1"/>
    <col min="10247" max="10247" width="10.5703125" style="151" customWidth="1"/>
    <col min="10248" max="10248" width="11.85546875" style="151" customWidth="1"/>
    <col min="10249" max="10249" width="11.7109375" style="151" customWidth="1"/>
    <col min="10250" max="10250" width="9.42578125" style="151" customWidth="1"/>
    <col min="10251" max="10251" width="10.140625" style="151" customWidth="1"/>
    <col min="10252" max="10253" width="8.42578125" style="151" bestFit="1" customWidth="1"/>
    <col min="10254" max="10256" width="9.42578125" style="151" bestFit="1" customWidth="1"/>
    <col min="10257" max="10257" width="6.5703125" style="151" bestFit="1" customWidth="1"/>
    <col min="10258" max="10258" width="11.140625" style="151" bestFit="1" customWidth="1"/>
    <col min="10259" max="10259" width="9.42578125" style="151" bestFit="1" customWidth="1"/>
    <col min="10260" max="10260" width="7" style="151" bestFit="1" customWidth="1"/>
    <col min="10261" max="10261" width="8" style="151" bestFit="1" customWidth="1"/>
    <col min="10262" max="10262" width="5.85546875" style="151" bestFit="1" customWidth="1"/>
    <col min="10263" max="10263" width="10.42578125" style="151" bestFit="1" customWidth="1"/>
    <col min="10264" max="10497" width="8.85546875" style="151"/>
    <col min="10498" max="10498" width="8" style="151" bestFit="1" customWidth="1"/>
    <col min="10499" max="10499" width="7" style="151" bestFit="1" customWidth="1"/>
    <col min="10500" max="10500" width="8" style="151" bestFit="1" customWidth="1"/>
    <col min="10501" max="10501" width="5.85546875" style="151" bestFit="1" customWidth="1"/>
    <col min="10502" max="10502" width="7.140625" style="151" bestFit="1" customWidth="1"/>
    <col min="10503" max="10503" width="10.5703125" style="151" customWidth="1"/>
    <col min="10504" max="10504" width="11.85546875" style="151" customWidth="1"/>
    <col min="10505" max="10505" width="11.7109375" style="151" customWidth="1"/>
    <col min="10506" max="10506" width="9.42578125" style="151" customWidth="1"/>
    <col min="10507" max="10507" width="10.140625" style="151" customWidth="1"/>
    <col min="10508" max="10509" width="8.42578125" style="151" bestFit="1" customWidth="1"/>
    <col min="10510" max="10512" width="9.42578125" style="151" bestFit="1" customWidth="1"/>
    <col min="10513" max="10513" width="6.5703125" style="151" bestFit="1" customWidth="1"/>
    <col min="10514" max="10514" width="11.140625" style="151" bestFit="1" customWidth="1"/>
    <col min="10515" max="10515" width="9.42578125" style="151" bestFit="1" customWidth="1"/>
    <col min="10516" max="10516" width="7" style="151" bestFit="1" customWidth="1"/>
    <col min="10517" max="10517" width="8" style="151" bestFit="1" customWidth="1"/>
    <col min="10518" max="10518" width="5.85546875" style="151" bestFit="1" customWidth="1"/>
    <col min="10519" max="10519" width="10.42578125" style="151" bestFit="1" customWidth="1"/>
    <col min="10520" max="10753" width="8.85546875" style="151"/>
    <col min="10754" max="10754" width="8" style="151" bestFit="1" customWidth="1"/>
    <col min="10755" max="10755" width="7" style="151" bestFit="1" customWidth="1"/>
    <col min="10756" max="10756" width="8" style="151" bestFit="1" customWidth="1"/>
    <col min="10757" max="10757" width="5.85546875" style="151" bestFit="1" customWidth="1"/>
    <col min="10758" max="10758" width="7.140625" style="151" bestFit="1" customWidth="1"/>
    <col min="10759" max="10759" width="10.5703125" style="151" customWidth="1"/>
    <col min="10760" max="10760" width="11.85546875" style="151" customWidth="1"/>
    <col min="10761" max="10761" width="11.7109375" style="151" customWidth="1"/>
    <col min="10762" max="10762" width="9.42578125" style="151" customWidth="1"/>
    <col min="10763" max="10763" width="10.140625" style="151" customWidth="1"/>
    <col min="10764" max="10765" width="8.42578125" style="151" bestFit="1" customWidth="1"/>
    <col min="10766" max="10768" width="9.42578125" style="151" bestFit="1" customWidth="1"/>
    <col min="10769" max="10769" width="6.5703125" style="151" bestFit="1" customWidth="1"/>
    <col min="10770" max="10770" width="11.140625" style="151" bestFit="1" customWidth="1"/>
    <col min="10771" max="10771" width="9.42578125" style="151" bestFit="1" customWidth="1"/>
    <col min="10772" max="10772" width="7" style="151" bestFit="1" customWidth="1"/>
    <col min="10773" max="10773" width="8" style="151" bestFit="1" customWidth="1"/>
    <col min="10774" max="10774" width="5.85546875" style="151" bestFit="1" customWidth="1"/>
    <col min="10775" max="10775" width="10.42578125" style="151" bestFit="1" customWidth="1"/>
    <col min="10776" max="11009" width="8.85546875" style="151"/>
    <col min="11010" max="11010" width="8" style="151" bestFit="1" customWidth="1"/>
    <col min="11011" max="11011" width="7" style="151" bestFit="1" customWidth="1"/>
    <col min="11012" max="11012" width="8" style="151" bestFit="1" customWidth="1"/>
    <col min="11013" max="11013" width="5.85546875" style="151" bestFit="1" customWidth="1"/>
    <col min="11014" max="11014" width="7.140625" style="151" bestFit="1" customWidth="1"/>
    <col min="11015" max="11015" width="10.5703125" style="151" customWidth="1"/>
    <col min="11016" max="11016" width="11.85546875" style="151" customWidth="1"/>
    <col min="11017" max="11017" width="11.7109375" style="151" customWidth="1"/>
    <col min="11018" max="11018" width="9.42578125" style="151" customWidth="1"/>
    <col min="11019" max="11019" width="10.140625" style="151" customWidth="1"/>
    <col min="11020" max="11021" width="8.42578125" style="151" bestFit="1" customWidth="1"/>
    <col min="11022" max="11024" width="9.42578125" style="151" bestFit="1" customWidth="1"/>
    <col min="11025" max="11025" width="6.5703125" style="151" bestFit="1" customWidth="1"/>
    <col min="11026" max="11026" width="11.140625" style="151" bestFit="1" customWidth="1"/>
    <col min="11027" max="11027" width="9.42578125" style="151" bestFit="1" customWidth="1"/>
    <col min="11028" max="11028" width="7" style="151" bestFit="1" customWidth="1"/>
    <col min="11029" max="11029" width="8" style="151" bestFit="1" customWidth="1"/>
    <col min="11030" max="11030" width="5.85546875" style="151" bestFit="1" customWidth="1"/>
    <col min="11031" max="11031" width="10.42578125" style="151" bestFit="1" customWidth="1"/>
    <col min="11032" max="11265" width="8.85546875" style="151"/>
    <col min="11266" max="11266" width="8" style="151" bestFit="1" customWidth="1"/>
    <col min="11267" max="11267" width="7" style="151" bestFit="1" customWidth="1"/>
    <col min="11268" max="11268" width="8" style="151" bestFit="1" customWidth="1"/>
    <col min="11269" max="11269" width="5.85546875" style="151" bestFit="1" customWidth="1"/>
    <col min="11270" max="11270" width="7.140625" style="151" bestFit="1" customWidth="1"/>
    <col min="11271" max="11271" width="10.5703125" style="151" customWidth="1"/>
    <col min="11272" max="11272" width="11.85546875" style="151" customWidth="1"/>
    <col min="11273" max="11273" width="11.7109375" style="151" customWidth="1"/>
    <col min="11274" max="11274" width="9.42578125" style="151" customWidth="1"/>
    <col min="11275" max="11275" width="10.140625" style="151" customWidth="1"/>
    <col min="11276" max="11277" width="8.42578125" style="151" bestFit="1" customWidth="1"/>
    <col min="11278" max="11280" width="9.42578125" style="151" bestFit="1" customWidth="1"/>
    <col min="11281" max="11281" width="6.5703125" style="151" bestFit="1" customWidth="1"/>
    <col min="11282" max="11282" width="11.140625" style="151" bestFit="1" customWidth="1"/>
    <col min="11283" max="11283" width="9.42578125" style="151" bestFit="1" customWidth="1"/>
    <col min="11284" max="11284" width="7" style="151" bestFit="1" customWidth="1"/>
    <col min="11285" max="11285" width="8" style="151" bestFit="1" customWidth="1"/>
    <col min="11286" max="11286" width="5.85546875" style="151" bestFit="1" customWidth="1"/>
    <col min="11287" max="11287" width="10.42578125" style="151" bestFit="1" customWidth="1"/>
    <col min="11288" max="11521" width="8.85546875" style="151"/>
    <col min="11522" max="11522" width="8" style="151" bestFit="1" customWidth="1"/>
    <col min="11523" max="11523" width="7" style="151" bestFit="1" customWidth="1"/>
    <col min="11524" max="11524" width="8" style="151" bestFit="1" customWidth="1"/>
    <col min="11525" max="11525" width="5.85546875" style="151" bestFit="1" customWidth="1"/>
    <col min="11526" max="11526" width="7.140625" style="151" bestFit="1" customWidth="1"/>
    <col min="11527" max="11527" width="10.5703125" style="151" customWidth="1"/>
    <col min="11528" max="11528" width="11.85546875" style="151" customWidth="1"/>
    <col min="11529" max="11529" width="11.7109375" style="151" customWidth="1"/>
    <col min="11530" max="11530" width="9.42578125" style="151" customWidth="1"/>
    <col min="11531" max="11531" width="10.140625" style="151" customWidth="1"/>
    <col min="11532" max="11533" width="8.42578125" style="151" bestFit="1" customWidth="1"/>
    <col min="11534" max="11536" width="9.42578125" style="151" bestFit="1" customWidth="1"/>
    <col min="11537" max="11537" width="6.5703125" style="151" bestFit="1" customWidth="1"/>
    <col min="11538" max="11538" width="11.140625" style="151" bestFit="1" customWidth="1"/>
    <col min="11539" max="11539" width="9.42578125" style="151" bestFit="1" customWidth="1"/>
    <col min="11540" max="11540" width="7" style="151" bestFit="1" customWidth="1"/>
    <col min="11541" max="11541" width="8" style="151" bestFit="1" customWidth="1"/>
    <col min="11542" max="11542" width="5.85546875" style="151" bestFit="1" customWidth="1"/>
    <col min="11543" max="11543" width="10.42578125" style="151" bestFit="1" customWidth="1"/>
    <col min="11544" max="11777" width="8.85546875" style="151"/>
    <col min="11778" max="11778" width="8" style="151" bestFit="1" customWidth="1"/>
    <col min="11779" max="11779" width="7" style="151" bestFit="1" customWidth="1"/>
    <col min="11780" max="11780" width="8" style="151" bestFit="1" customWidth="1"/>
    <col min="11781" max="11781" width="5.85546875" style="151" bestFit="1" customWidth="1"/>
    <col min="11782" max="11782" width="7.140625" style="151" bestFit="1" customWidth="1"/>
    <col min="11783" max="11783" width="10.5703125" style="151" customWidth="1"/>
    <col min="11784" max="11784" width="11.85546875" style="151" customWidth="1"/>
    <col min="11785" max="11785" width="11.7109375" style="151" customWidth="1"/>
    <col min="11786" max="11786" width="9.42578125" style="151" customWidth="1"/>
    <col min="11787" max="11787" width="10.140625" style="151" customWidth="1"/>
    <col min="11788" max="11789" width="8.42578125" style="151" bestFit="1" customWidth="1"/>
    <col min="11790" max="11792" width="9.42578125" style="151" bestFit="1" customWidth="1"/>
    <col min="11793" max="11793" width="6.5703125" style="151" bestFit="1" customWidth="1"/>
    <col min="11794" max="11794" width="11.140625" style="151" bestFit="1" customWidth="1"/>
    <col min="11795" max="11795" width="9.42578125" style="151" bestFit="1" customWidth="1"/>
    <col min="11796" max="11796" width="7" style="151" bestFit="1" customWidth="1"/>
    <col min="11797" max="11797" width="8" style="151" bestFit="1" customWidth="1"/>
    <col min="11798" max="11798" width="5.85546875" style="151" bestFit="1" customWidth="1"/>
    <col min="11799" max="11799" width="10.42578125" style="151" bestFit="1" customWidth="1"/>
    <col min="11800" max="12033" width="8.85546875" style="151"/>
    <col min="12034" max="12034" width="8" style="151" bestFit="1" customWidth="1"/>
    <col min="12035" max="12035" width="7" style="151" bestFit="1" customWidth="1"/>
    <col min="12036" max="12036" width="8" style="151" bestFit="1" customWidth="1"/>
    <col min="12037" max="12037" width="5.85546875" style="151" bestFit="1" customWidth="1"/>
    <col min="12038" max="12038" width="7.140625" style="151" bestFit="1" customWidth="1"/>
    <col min="12039" max="12039" width="10.5703125" style="151" customWidth="1"/>
    <col min="12040" max="12040" width="11.85546875" style="151" customWidth="1"/>
    <col min="12041" max="12041" width="11.7109375" style="151" customWidth="1"/>
    <col min="12042" max="12042" width="9.42578125" style="151" customWidth="1"/>
    <col min="12043" max="12043" width="10.140625" style="151" customWidth="1"/>
    <col min="12044" max="12045" width="8.42578125" style="151" bestFit="1" customWidth="1"/>
    <col min="12046" max="12048" width="9.42578125" style="151" bestFit="1" customWidth="1"/>
    <col min="12049" max="12049" width="6.5703125" style="151" bestFit="1" customWidth="1"/>
    <col min="12050" max="12050" width="11.140625" style="151" bestFit="1" customWidth="1"/>
    <col min="12051" max="12051" width="9.42578125" style="151" bestFit="1" customWidth="1"/>
    <col min="12052" max="12052" width="7" style="151" bestFit="1" customWidth="1"/>
    <col min="12053" max="12053" width="8" style="151" bestFit="1" customWidth="1"/>
    <col min="12054" max="12054" width="5.85546875" style="151" bestFit="1" customWidth="1"/>
    <col min="12055" max="12055" width="10.42578125" style="151" bestFit="1" customWidth="1"/>
    <col min="12056" max="12289" width="8.85546875" style="151"/>
    <col min="12290" max="12290" width="8" style="151" bestFit="1" customWidth="1"/>
    <col min="12291" max="12291" width="7" style="151" bestFit="1" customWidth="1"/>
    <col min="12292" max="12292" width="8" style="151" bestFit="1" customWidth="1"/>
    <col min="12293" max="12293" width="5.85546875" style="151" bestFit="1" customWidth="1"/>
    <col min="12294" max="12294" width="7.140625" style="151" bestFit="1" customWidth="1"/>
    <col min="12295" max="12295" width="10.5703125" style="151" customWidth="1"/>
    <col min="12296" max="12296" width="11.85546875" style="151" customWidth="1"/>
    <col min="12297" max="12297" width="11.7109375" style="151" customWidth="1"/>
    <col min="12298" max="12298" width="9.42578125" style="151" customWidth="1"/>
    <col min="12299" max="12299" width="10.140625" style="151" customWidth="1"/>
    <col min="12300" max="12301" width="8.42578125" style="151" bestFit="1" customWidth="1"/>
    <col min="12302" max="12304" width="9.42578125" style="151" bestFit="1" customWidth="1"/>
    <col min="12305" max="12305" width="6.5703125" style="151" bestFit="1" customWidth="1"/>
    <col min="12306" max="12306" width="11.140625" style="151" bestFit="1" customWidth="1"/>
    <col min="12307" max="12307" width="9.42578125" style="151" bestFit="1" customWidth="1"/>
    <col min="12308" max="12308" width="7" style="151" bestFit="1" customWidth="1"/>
    <col min="12309" max="12309" width="8" style="151" bestFit="1" customWidth="1"/>
    <col min="12310" max="12310" width="5.85546875" style="151" bestFit="1" customWidth="1"/>
    <col min="12311" max="12311" width="10.42578125" style="151" bestFit="1" customWidth="1"/>
    <col min="12312" max="12545" width="8.85546875" style="151"/>
    <col min="12546" max="12546" width="8" style="151" bestFit="1" customWidth="1"/>
    <col min="12547" max="12547" width="7" style="151" bestFit="1" customWidth="1"/>
    <col min="12548" max="12548" width="8" style="151" bestFit="1" customWidth="1"/>
    <col min="12549" max="12549" width="5.85546875" style="151" bestFit="1" customWidth="1"/>
    <col min="12550" max="12550" width="7.140625" style="151" bestFit="1" customWidth="1"/>
    <col min="12551" max="12551" width="10.5703125" style="151" customWidth="1"/>
    <col min="12552" max="12552" width="11.85546875" style="151" customWidth="1"/>
    <col min="12553" max="12553" width="11.7109375" style="151" customWidth="1"/>
    <col min="12554" max="12554" width="9.42578125" style="151" customWidth="1"/>
    <col min="12555" max="12555" width="10.140625" style="151" customWidth="1"/>
    <col min="12556" max="12557" width="8.42578125" style="151" bestFit="1" customWidth="1"/>
    <col min="12558" max="12560" width="9.42578125" style="151" bestFit="1" customWidth="1"/>
    <col min="12561" max="12561" width="6.5703125" style="151" bestFit="1" customWidth="1"/>
    <col min="12562" max="12562" width="11.140625" style="151" bestFit="1" customWidth="1"/>
    <col min="12563" max="12563" width="9.42578125" style="151" bestFit="1" customWidth="1"/>
    <col min="12564" max="12564" width="7" style="151" bestFit="1" customWidth="1"/>
    <col min="12565" max="12565" width="8" style="151" bestFit="1" customWidth="1"/>
    <col min="12566" max="12566" width="5.85546875" style="151" bestFit="1" customWidth="1"/>
    <col min="12567" max="12567" width="10.42578125" style="151" bestFit="1" customWidth="1"/>
    <col min="12568" max="12801" width="8.85546875" style="151"/>
    <col min="12802" max="12802" width="8" style="151" bestFit="1" customWidth="1"/>
    <col min="12803" max="12803" width="7" style="151" bestFit="1" customWidth="1"/>
    <col min="12804" max="12804" width="8" style="151" bestFit="1" customWidth="1"/>
    <col min="12805" max="12805" width="5.85546875" style="151" bestFit="1" customWidth="1"/>
    <col min="12806" max="12806" width="7.140625" style="151" bestFit="1" customWidth="1"/>
    <col min="12807" max="12807" width="10.5703125" style="151" customWidth="1"/>
    <col min="12808" max="12808" width="11.85546875" style="151" customWidth="1"/>
    <col min="12809" max="12809" width="11.7109375" style="151" customWidth="1"/>
    <col min="12810" max="12810" width="9.42578125" style="151" customWidth="1"/>
    <col min="12811" max="12811" width="10.140625" style="151" customWidth="1"/>
    <col min="12812" max="12813" width="8.42578125" style="151" bestFit="1" customWidth="1"/>
    <col min="12814" max="12816" width="9.42578125" style="151" bestFit="1" customWidth="1"/>
    <col min="12817" max="12817" width="6.5703125" style="151" bestFit="1" customWidth="1"/>
    <col min="12818" max="12818" width="11.140625" style="151" bestFit="1" customWidth="1"/>
    <col min="12819" max="12819" width="9.42578125" style="151" bestFit="1" customWidth="1"/>
    <col min="12820" max="12820" width="7" style="151" bestFit="1" customWidth="1"/>
    <col min="12821" max="12821" width="8" style="151" bestFit="1" customWidth="1"/>
    <col min="12822" max="12822" width="5.85546875" style="151" bestFit="1" customWidth="1"/>
    <col min="12823" max="12823" width="10.42578125" style="151" bestFit="1" customWidth="1"/>
    <col min="12824" max="13057" width="8.85546875" style="151"/>
    <col min="13058" max="13058" width="8" style="151" bestFit="1" customWidth="1"/>
    <col min="13059" max="13059" width="7" style="151" bestFit="1" customWidth="1"/>
    <col min="13060" max="13060" width="8" style="151" bestFit="1" customWidth="1"/>
    <col min="13061" max="13061" width="5.85546875" style="151" bestFit="1" customWidth="1"/>
    <col min="13062" max="13062" width="7.140625" style="151" bestFit="1" customWidth="1"/>
    <col min="13063" max="13063" width="10.5703125" style="151" customWidth="1"/>
    <col min="13064" max="13064" width="11.85546875" style="151" customWidth="1"/>
    <col min="13065" max="13065" width="11.7109375" style="151" customWidth="1"/>
    <col min="13066" max="13066" width="9.42578125" style="151" customWidth="1"/>
    <col min="13067" max="13067" width="10.140625" style="151" customWidth="1"/>
    <col min="13068" max="13069" width="8.42578125" style="151" bestFit="1" customWidth="1"/>
    <col min="13070" max="13072" width="9.42578125" style="151" bestFit="1" customWidth="1"/>
    <col min="13073" max="13073" width="6.5703125" style="151" bestFit="1" customWidth="1"/>
    <col min="13074" max="13074" width="11.140625" style="151" bestFit="1" customWidth="1"/>
    <col min="13075" max="13075" width="9.42578125" style="151" bestFit="1" customWidth="1"/>
    <col min="13076" max="13076" width="7" style="151" bestFit="1" customWidth="1"/>
    <col min="13077" max="13077" width="8" style="151" bestFit="1" customWidth="1"/>
    <col min="13078" max="13078" width="5.85546875" style="151" bestFit="1" customWidth="1"/>
    <col min="13079" max="13079" width="10.42578125" style="151" bestFit="1" customWidth="1"/>
    <col min="13080" max="13313" width="8.85546875" style="151"/>
    <col min="13314" max="13314" width="8" style="151" bestFit="1" customWidth="1"/>
    <col min="13315" max="13315" width="7" style="151" bestFit="1" customWidth="1"/>
    <col min="13316" max="13316" width="8" style="151" bestFit="1" customWidth="1"/>
    <col min="13317" max="13317" width="5.85546875" style="151" bestFit="1" customWidth="1"/>
    <col min="13318" max="13318" width="7.140625" style="151" bestFit="1" customWidth="1"/>
    <col min="13319" max="13319" width="10.5703125" style="151" customWidth="1"/>
    <col min="13320" max="13320" width="11.85546875" style="151" customWidth="1"/>
    <col min="13321" max="13321" width="11.7109375" style="151" customWidth="1"/>
    <col min="13322" max="13322" width="9.42578125" style="151" customWidth="1"/>
    <col min="13323" max="13323" width="10.140625" style="151" customWidth="1"/>
    <col min="13324" max="13325" width="8.42578125" style="151" bestFit="1" customWidth="1"/>
    <col min="13326" max="13328" width="9.42578125" style="151" bestFit="1" customWidth="1"/>
    <col min="13329" max="13329" width="6.5703125" style="151" bestFit="1" customWidth="1"/>
    <col min="13330" max="13330" width="11.140625" style="151" bestFit="1" customWidth="1"/>
    <col min="13331" max="13331" width="9.42578125" style="151" bestFit="1" customWidth="1"/>
    <col min="13332" max="13332" width="7" style="151" bestFit="1" customWidth="1"/>
    <col min="13333" max="13333" width="8" style="151" bestFit="1" customWidth="1"/>
    <col min="13334" max="13334" width="5.85546875" style="151" bestFit="1" customWidth="1"/>
    <col min="13335" max="13335" width="10.42578125" style="151" bestFit="1" customWidth="1"/>
    <col min="13336" max="13569" width="8.85546875" style="151"/>
    <col min="13570" max="13570" width="8" style="151" bestFit="1" customWidth="1"/>
    <col min="13571" max="13571" width="7" style="151" bestFit="1" customWidth="1"/>
    <col min="13572" max="13572" width="8" style="151" bestFit="1" customWidth="1"/>
    <col min="13573" max="13573" width="5.85546875" style="151" bestFit="1" customWidth="1"/>
    <col min="13574" max="13574" width="7.140625" style="151" bestFit="1" customWidth="1"/>
    <col min="13575" max="13575" width="10.5703125" style="151" customWidth="1"/>
    <col min="13576" max="13576" width="11.85546875" style="151" customWidth="1"/>
    <col min="13577" max="13577" width="11.7109375" style="151" customWidth="1"/>
    <col min="13578" max="13578" width="9.42578125" style="151" customWidth="1"/>
    <col min="13579" max="13579" width="10.140625" style="151" customWidth="1"/>
    <col min="13580" max="13581" width="8.42578125" style="151" bestFit="1" customWidth="1"/>
    <col min="13582" max="13584" width="9.42578125" style="151" bestFit="1" customWidth="1"/>
    <col min="13585" max="13585" width="6.5703125" style="151" bestFit="1" customWidth="1"/>
    <col min="13586" max="13586" width="11.140625" style="151" bestFit="1" customWidth="1"/>
    <col min="13587" max="13587" width="9.42578125" style="151" bestFit="1" customWidth="1"/>
    <col min="13588" max="13588" width="7" style="151" bestFit="1" customWidth="1"/>
    <col min="13589" max="13589" width="8" style="151" bestFit="1" customWidth="1"/>
    <col min="13590" max="13590" width="5.85546875" style="151" bestFit="1" customWidth="1"/>
    <col min="13591" max="13591" width="10.42578125" style="151" bestFit="1" customWidth="1"/>
    <col min="13592" max="13825" width="8.85546875" style="151"/>
    <col min="13826" max="13826" width="8" style="151" bestFit="1" customWidth="1"/>
    <col min="13827" max="13827" width="7" style="151" bestFit="1" customWidth="1"/>
    <col min="13828" max="13828" width="8" style="151" bestFit="1" customWidth="1"/>
    <col min="13829" max="13829" width="5.85546875" style="151" bestFit="1" customWidth="1"/>
    <col min="13830" max="13830" width="7.140625" style="151" bestFit="1" customWidth="1"/>
    <col min="13831" max="13831" width="10.5703125" style="151" customWidth="1"/>
    <col min="13832" max="13832" width="11.85546875" style="151" customWidth="1"/>
    <col min="13833" max="13833" width="11.7109375" style="151" customWidth="1"/>
    <col min="13834" max="13834" width="9.42578125" style="151" customWidth="1"/>
    <col min="13835" max="13835" width="10.140625" style="151" customWidth="1"/>
    <col min="13836" max="13837" width="8.42578125" style="151" bestFit="1" customWidth="1"/>
    <col min="13838" max="13840" width="9.42578125" style="151" bestFit="1" customWidth="1"/>
    <col min="13841" max="13841" width="6.5703125" style="151" bestFit="1" customWidth="1"/>
    <col min="13842" max="13842" width="11.140625" style="151" bestFit="1" customWidth="1"/>
    <col min="13843" max="13843" width="9.42578125" style="151" bestFit="1" customWidth="1"/>
    <col min="13844" max="13844" width="7" style="151" bestFit="1" customWidth="1"/>
    <col min="13845" max="13845" width="8" style="151" bestFit="1" customWidth="1"/>
    <col min="13846" max="13846" width="5.85546875" style="151" bestFit="1" customWidth="1"/>
    <col min="13847" max="13847" width="10.42578125" style="151" bestFit="1" customWidth="1"/>
    <col min="13848" max="14081" width="8.85546875" style="151"/>
    <col min="14082" max="14082" width="8" style="151" bestFit="1" customWidth="1"/>
    <col min="14083" max="14083" width="7" style="151" bestFit="1" customWidth="1"/>
    <col min="14084" max="14084" width="8" style="151" bestFit="1" customWidth="1"/>
    <col min="14085" max="14085" width="5.85546875" style="151" bestFit="1" customWidth="1"/>
    <col min="14086" max="14086" width="7.140625" style="151" bestFit="1" customWidth="1"/>
    <col min="14087" max="14087" width="10.5703125" style="151" customWidth="1"/>
    <col min="14088" max="14088" width="11.85546875" style="151" customWidth="1"/>
    <col min="14089" max="14089" width="11.7109375" style="151" customWidth="1"/>
    <col min="14090" max="14090" width="9.42578125" style="151" customWidth="1"/>
    <col min="14091" max="14091" width="10.140625" style="151" customWidth="1"/>
    <col min="14092" max="14093" width="8.42578125" style="151" bestFit="1" customWidth="1"/>
    <col min="14094" max="14096" width="9.42578125" style="151" bestFit="1" customWidth="1"/>
    <col min="14097" max="14097" width="6.5703125" style="151" bestFit="1" customWidth="1"/>
    <col min="14098" max="14098" width="11.140625" style="151" bestFit="1" customWidth="1"/>
    <col min="14099" max="14099" width="9.42578125" style="151" bestFit="1" customWidth="1"/>
    <col min="14100" max="14100" width="7" style="151" bestFit="1" customWidth="1"/>
    <col min="14101" max="14101" width="8" style="151" bestFit="1" customWidth="1"/>
    <col min="14102" max="14102" width="5.85546875" style="151" bestFit="1" customWidth="1"/>
    <col min="14103" max="14103" width="10.42578125" style="151" bestFit="1" customWidth="1"/>
    <col min="14104" max="14337" width="8.85546875" style="151"/>
    <col min="14338" max="14338" width="8" style="151" bestFit="1" customWidth="1"/>
    <col min="14339" max="14339" width="7" style="151" bestFit="1" customWidth="1"/>
    <col min="14340" max="14340" width="8" style="151" bestFit="1" customWidth="1"/>
    <col min="14341" max="14341" width="5.85546875" style="151" bestFit="1" customWidth="1"/>
    <col min="14342" max="14342" width="7.140625" style="151" bestFit="1" customWidth="1"/>
    <col min="14343" max="14343" width="10.5703125" style="151" customWidth="1"/>
    <col min="14344" max="14344" width="11.85546875" style="151" customWidth="1"/>
    <col min="14345" max="14345" width="11.7109375" style="151" customWidth="1"/>
    <col min="14346" max="14346" width="9.42578125" style="151" customWidth="1"/>
    <col min="14347" max="14347" width="10.140625" style="151" customWidth="1"/>
    <col min="14348" max="14349" width="8.42578125" style="151" bestFit="1" customWidth="1"/>
    <col min="14350" max="14352" width="9.42578125" style="151" bestFit="1" customWidth="1"/>
    <col min="14353" max="14353" width="6.5703125" style="151" bestFit="1" customWidth="1"/>
    <col min="14354" max="14354" width="11.140625" style="151" bestFit="1" customWidth="1"/>
    <col min="14355" max="14355" width="9.42578125" style="151" bestFit="1" customWidth="1"/>
    <col min="14356" max="14356" width="7" style="151" bestFit="1" customWidth="1"/>
    <col min="14357" max="14357" width="8" style="151" bestFit="1" customWidth="1"/>
    <col min="14358" max="14358" width="5.85546875" style="151" bestFit="1" customWidth="1"/>
    <col min="14359" max="14359" width="10.42578125" style="151" bestFit="1" customWidth="1"/>
    <col min="14360" max="14593" width="8.85546875" style="151"/>
    <col min="14594" max="14594" width="8" style="151" bestFit="1" customWidth="1"/>
    <col min="14595" max="14595" width="7" style="151" bestFit="1" customWidth="1"/>
    <col min="14596" max="14596" width="8" style="151" bestFit="1" customWidth="1"/>
    <col min="14597" max="14597" width="5.85546875" style="151" bestFit="1" customWidth="1"/>
    <col min="14598" max="14598" width="7.140625" style="151" bestFit="1" customWidth="1"/>
    <col min="14599" max="14599" width="10.5703125" style="151" customWidth="1"/>
    <col min="14600" max="14600" width="11.85546875" style="151" customWidth="1"/>
    <col min="14601" max="14601" width="11.7109375" style="151" customWidth="1"/>
    <col min="14602" max="14602" width="9.42578125" style="151" customWidth="1"/>
    <col min="14603" max="14603" width="10.140625" style="151" customWidth="1"/>
    <col min="14604" max="14605" width="8.42578125" style="151" bestFit="1" customWidth="1"/>
    <col min="14606" max="14608" width="9.42578125" style="151" bestFit="1" customWidth="1"/>
    <col min="14609" max="14609" width="6.5703125" style="151" bestFit="1" customWidth="1"/>
    <col min="14610" max="14610" width="11.140625" style="151" bestFit="1" customWidth="1"/>
    <col min="14611" max="14611" width="9.42578125" style="151" bestFit="1" customWidth="1"/>
    <col min="14612" max="14612" width="7" style="151" bestFit="1" customWidth="1"/>
    <col min="14613" max="14613" width="8" style="151" bestFit="1" customWidth="1"/>
    <col min="14614" max="14614" width="5.85546875" style="151" bestFit="1" customWidth="1"/>
    <col min="14615" max="14615" width="10.42578125" style="151" bestFit="1" customWidth="1"/>
    <col min="14616" max="14849" width="8.85546875" style="151"/>
    <col min="14850" max="14850" width="8" style="151" bestFit="1" customWidth="1"/>
    <col min="14851" max="14851" width="7" style="151" bestFit="1" customWidth="1"/>
    <col min="14852" max="14852" width="8" style="151" bestFit="1" customWidth="1"/>
    <col min="14853" max="14853" width="5.85546875" style="151" bestFit="1" customWidth="1"/>
    <col min="14854" max="14854" width="7.140625" style="151" bestFit="1" customWidth="1"/>
    <col min="14855" max="14855" width="10.5703125" style="151" customWidth="1"/>
    <col min="14856" max="14856" width="11.85546875" style="151" customWidth="1"/>
    <col min="14857" max="14857" width="11.7109375" style="151" customWidth="1"/>
    <col min="14858" max="14858" width="9.42578125" style="151" customWidth="1"/>
    <col min="14859" max="14859" width="10.140625" style="151" customWidth="1"/>
    <col min="14860" max="14861" width="8.42578125" style="151" bestFit="1" customWidth="1"/>
    <col min="14862" max="14864" width="9.42578125" style="151" bestFit="1" customWidth="1"/>
    <col min="14865" max="14865" width="6.5703125" style="151" bestFit="1" customWidth="1"/>
    <col min="14866" max="14866" width="11.140625" style="151" bestFit="1" customWidth="1"/>
    <col min="14867" max="14867" width="9.42578125" style="151" bestFit="1" customWidth="1"/>
    <col min="14868" max="14868" width="7" style="151" bestFit="1" customWidth="1"/>
    <col min="14869" max="14869" width="8" style="151" bestFit="1" customWidth="1"/>
    <col min="14870" max="14870" width="5.85546875" style="151" bestFit="1" customWidth="1"/>
    <col min="14871" max="14871" width="10.42578125" style="151" bestFit="1" customWidth="1"/>
    <col min="14872" max="15105" width="8.85546875" style="151"/>
    <col min="15106" max="15106" width="8" style="151" bestFit="1" customWidth="1"/>
    <col min="15107" max="15107" width="7" style="151" bestFit="1" customWidth="1"/>
    <col min="15108" max="15108" width="8" style="151" bestFit="1" customWidth="1"/>
    <col min="15109" max="15109" width="5.85546875" style="151" bestFit="1" customWidth="1"/>
    <col min="15110" max="15110" width="7.140625" style="151" bestFit="1" customWidth="1"/>
    <col min="15111" max="15111" width="10.5703125" style="151" customWidth="1"/>
    <col min="15112" max="15112" width="11.85546875" style="151" customWidth="1"/>
    <col min="15113" max="15113" width="11.7109375" style="151" customWidth="1"/>
    <col min="15114" max="15114" width="9.42578125" style="151" customWidth="1"/>
    <col min="15115" max="15115" width="10.140625" style="151" customWidth="1"/>
    <col min="15116" max="15117" width="8.42578125" style="151" bestFit="1" customWidth="1"/>
    <col min="15118" max="15120" width="9.42578125" style="151" bestFit="1" customWidth="1"/>
    <col min="15121" max="15121" width="6.5703125" style="151" bestFit="1" customWidth="1"/>
    <col min="15122" max="15122" width="11.140625" style="151" bestFit="1" customWidth="1"/>
    <col min="15123" max="15123" width="9.42578125" style="151" bestFit="1" customWidth="1"/>
    <col min="15124" max="15124" width="7" style="151" bestFit="1" customWidth="1"/>
    <col min="15125" max="15125" width="8" style="151" bestFit="1" customWidth="1"/>
    <col min="15126" max="15126" width="5.85546875" style="151" bestFit="1" customWidth="1"/>
    <col min="15127" max="15127" width="10.42578125" style="151" bestFit="1" customWidth="1"/>
    <col min="15128" max="15361" width="8.85546875" style="151"/>
    <col min="15362" max="15362" width="8" style="151" bestFit="1" customWidth="1"/>
    <col min="15363" max="15363" width="7" style="151" bestFit="1" customWidth="1"/>
    <col min="15364" max="15364" width="8" style="151" bestFit="1" customWidth="1"/>
    <col min="15365" max="15365" width="5.85546875" style="151" bestFit="1" customWidth="1"/>
    <col min="15366" max="15366" width="7.140625" style="151" bestFit="1" customWidth="1"/>
    <col min="15367" max="15367" width="10.5703125" style="151" customWidth="1"/>
    <col min="15368" max="15368" width="11.85546875" style="151" customWidth="1"/>
    <col min="15369" max="15369" width="11.7109375" style="151" customWidth="1"/>
    <col min="15370" max="15370" width="9.42578125" style="151" customWidth="1"/>
    <col min="15371" max="15371" width="10.140625" style="151" customWidth="1"/>
    <col min="15372" max="15373" width="8.42578125" style="151" bestFit="1" customWidth="1"/>
    <col min="15374" max="15376" width="9.42578125" style="151" bestFit="1" customWidth="1"/>
    <col min="15377" max="15377" width="6.5703125" style="151" bestFit="1" customWidth="1"/>
    <col min="15378" max="15378" width="11.140625" style="151" bestFit="1" customWidth="1"/>
    <col min="15379" max="15379" width="9.42578125" style="151" bestFit="1" customWidth="1"/>
    <col min="15380" max="15380" width="7" style="151" bestFit="1" customWidth="1"/>
    <col min="15381" max="15381" width="8" style="151" bestFit="1" customWidth="1"/>
    <col min="15382" max="15382" width="5.85546875" style="151" bestFit="1" customWidth="1"/>
    <col min="15383" max="15383" width="10.42578125" style="151" bestFit="1" customWidth="1"/>
    <col min="15384" max="15617" width="8.85546875" style="151"/>
    <col min="15618" max="15618" width="8" style="151" bestFit="1" customWidth="1"/>
    <col min="15619" max="15619" width="7" style="151" bestFit="1" customWidth="1"/>
    <col min="15620" max="15620" width="8" style="151" bestFit="1" customWidth="1"/>
    <col min="15621" max="15621" width="5.85546875" style="151" bestFit="1" customWidth="1"/>
    <col min="15622" max="15622" width="7.140625" style="151" bestFit="1" customWidth="1"/>
    <col min="15623" max="15623" width="10.5703125" style="151" customWidth="1"/>
    <col min="15624" max="15624" width="11.85546875" style="151" customWidth="1"/>
    <col min="15625" max="15625" width="11.7109375" style="151" customWidth="1"/>
    <col min="15626" max="15626" width="9.42578125" style="151" customWidth="1"/>
    <col min="15627" max="15627" width="10.140625" style="151" customWidth="1"/>
    <col min="15628" max="15629" width="8.42578125" style="151" bestFit="1" customWidth="1"/>
    <col min="15630" max="15632" width="9.42578125" style="151" bestFit="1" customWidth="1"/>
    <col min="15633" max="15633" width="6.5703125" style="151" bestFit="1" customWidth="1"/>
    <col min="15634" max="15634" width="11.140625" style="151" bestFit="1" customWidth="1"/>
    <col min="15635" max="15635" width="9.42578125" style="151" bestFit="1" customWidth="1"/>
    <col min="15636" max="15636" width="7" style="151" bestFit="1" customWidth="1"/>
    <col min="15637" max="15637" width="8" style="151" bestFit="1" customWidth="1"/>
    <col min="15638" max="15638" width="5.85546875" style="151" bestFit="1" customWidth="1"/>
    <col min="15639" max="15639" width="10.42578125" style="151" bestFit="1" customWidth="1"/>
    <col min="15640" max="15873" width="8.85546875" style="151"/>
    <col min="15874" max="15874" width="8" style="151" bestFit="1" customWidth="1"/>
    <col min="15875" max="15875" width="7" style="151" bestFit="1" customWidth="1"/>
    <col min="15876" max="15876" width="8" style="151" bestFit="1" customWidth="1"/>
    <col min="15877" max="15877" width="5.85546875" style="151" bestFit="1" customWidth="1"/>
    <col min="15878" max="15878" width="7.140625" style="151" bestFit="1" customWidth="1"/>
    <col min="15879" max="15879" width="10.5703125" style="151" customWidth="1"/>
    <col min="15880" max="15880" width="11.85546875" style="151" customWidth="1"/>
    <col min="15881" max="15881" width="11.7109375" style="151" customWidth="1"/>
    <col min="15882" max="15882" width="9.42578125" style="151" customWidth="1"/>
    <col min="15883" max="15883" width="10.140625" style="151" customWidth="1"/>
    <col min="15884" max="15885" width="8.42578125" style="151" bestFit="1" customWidth="1"/>
    <col min="15886" max="15888" width="9.42578125" style="151" bestFit="1" customWidth="1"/>
    <col min="15889" max="15889" width="6.5703125" style="151" bestFit="1" customWidth="1"/>
    <col min="15890" max="15890" width="11.140625" style="151" bestFit="1" customWidth="1"/>
    <col min="15891" max="15891" width="9.42578125" style="151" bestFit="1" customWidth="1"/>
    <col min="15892" max="15892" width="7" style="151" bestFit="1" customWidth="1"/>
    <col min="15893" max="15893" width="8" style="151" bestFit="1" customWidth="1"/>
    <col min="15894" max="15894" width="5.85546875" style="151" bestFit="1" customWidth="1"/>
    <col min="15895" max="15895" width="10.42578125" style="151" bestFit="1" customWidth="1"/>
    <col min="15896" max="16129" width="8.85546875" style="151"/>
    <col min="16130" max="16130" width="8" style="151" bestFit="1" customWidth="1"/>
    <col min="16131" max="16131" width="7" style="151" bestFit="1" customWidth="1"/>
    <col min="16132" max="16132" width="8" style="151" bestFit="1" customWidth="1"/>
    <col min="16133" max="16133" width="5.85546875" style="151" bestFit="1" customWidth="1"/>
    <col min="16134" max="16134" width="7.140625" style="151" bestFit="1" customWidth="1"/>
    <col min="16135" max="16135" width="10.5703125" style="151" customWidth="1"/>
    <col min="16136" max="16136" width="11.85546875" style="151" customWidth="1"/>
    <col min="16137" max="16137" width="11.7109375" style="151" customWidth="1"/>
    <col min="16138" max="16138" width="9.42578125" style="151" customWidth="1"/>
    <col min="16139" max="16139" width="10.140625" style="151" customWidth="1"/>
    <col min="16140" max="16141" width="8.42578125" style="151" bestFit="1" customWidth="1"/>
    <col min="16142" max="16144" width="9.42578125" style="151" bestFit="1" customWidth="1"/>
    <col min="16145" max="16145" width="6.5703125" style="151" bestFit="1" customWidth="1"/>
    <col min="16146" max="16146" width="11.140625" style="151" bestFit="1" customWidth="1"/>
    <col min="16147" max="16147" width="9.42578125" style="151" bestFit="1" customWidth="1"/>
    <col min="16148" max="16148" width="7" style="151" bestFit="1" customWidth="1"/>
    <col min="16149" max="16149" width="8" style="151" bestFit="1" customWidth="1"/>
    <col min="16150" max="16150" width="5.85546875" style="151" bestFit="1" customWidth="1"/>
    <col min="16151" max="16151" width="10.42578125" style="151" bestFit="1" customWidth="1"/>
    <col min="16152" max="16384" width="8.85546875" style="151"/>
  </cols>
  <sheetData>
    <row r="1" spans="2:23" ht="12.75" customHeight="1" thickBot="1" x14ac:dyDescent="0.25"/>
    <row r="2" spans="2:23" x14ac:dyDescent="0.2">
      <c r="B2" s="213" t="s">
        <v>120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5"/>
    </row>
    <row r="3" spans="2:23" ht="13.5" thickBot="1" x14ac:dyDescent="0.25">
      <c r="B3" s="216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8"/>
    </row>
    <row r="4" spans="2:23" ht="15.75" x14ac:dyDescent="0.25">
      <c r="B4" s="219" t="s">
        <v>121</v>
      </c>
      <c r="C4" s="220"/>
      <c r="D4" s="220"/>
      <c r="E4" s="220"/>
      <c r="F4" s="220"/>
      <c r="G4" s="221" t="s">
        <v>122</v>
      </c>
      <c r="H4" s="222"/>
      <c r="I4" s="222"/>
      <c r="J4" s="222"/>
      <c r="K4" s="222"/>
      <c r="L4" s="222"/>
      <c r="M4" s="222"/>
      <c r="N4" s="222"/>
      <c r="O4" s="222"/>
      <c r="P4" s="223"/>
      <c r="Q4" s="152"/>
      <c r="R4" s="152"/>
      <c r="S4" s="220" t="s">
        <v>123</v>
      </c>
      <c r="T4" s="220"/>
      <c r="U4" s="220"/>
      <c r="V4" s="220"/>
      <c r="W4" s="153"/>
    </row>
    <row r="5" spans="2:23" ht="25.5" x14ac:dyDescent="0.2">
      <c r="B5" s="154" t="s">
        <v>124</v>
      </c>
      <c r="C5" s="155" t="s">
        <v>125</v>
      </c>
      <c r="D5" s="155" t="s">
        <v>126</v>
      </c>
      <c r="E5" s="155" t="s">
        <v>127</v>
      </c>
      <c r="F5" s="155" t="s">
        <v>128</v>
      </c>
      <c r="G5" s="156">
        <v>300</v>
      </c>
      <c r="H5" s="156">
        <v>400</v>
      </c>
      <c r="I5" s="156">
        <v>500</v>
      </c>
      <c r="J5" s="156">
        <v>600</v>
      </c>
      <c r="K5" s="156">
        <v>700</v>
      </c>
      <c r="L5" s="156">
        <v>800</v>
      </c>
      <c r="M5" s="156">
        <v>900</v>
      </c>
      <c r="N5" s="156">
        <v>1000</v>
      </c>
      <c r="O5" s="156">
        <v>1100</v>
      </c>
      <c r="P5" s="156">
        <v>1200</v>
      </c>
      <c r="Q5" s="157" t="s">
        <v>129</v>
      </c>
      <c r="R5" s="157" t="s">
        <v>130</v>
      </c>
      <c r="S5" s="157" t="s">
        <v>131</v>
      </c>
      <c r="T5" s="155" t="s">
        <v>125</v>
      </c>
      <c r="U5" s="155" t="s">
        <v>126</v>
      </c>
      <c r="V5" s="155" t="s">
        <v>127</v>
      </c>
      <c r="W5" s="158" t="s">
        <v>132</v>
      </c>
    </row>
    <row r="6" spans="2:23" x14ac:dyDescent="0.2">
      <c r="B6" s="159">
        <v>250</v>
      </c>
      <c r="C6" s="155" t="s">
        <v>133</v>
      </c>
      <c r="D6" s="155">
        <v>0.9</v>
      </c>
      <c r="E6" s="155">
        <v>1</v>
      </c>
      <c r="F6" s="155">
        <v>4</v>
      </c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1">
        <f>((((G6*0.3)+(H6*0.4)+(I6*0.5)+(J6*0.6)+(K6*0.7)+(L6*0.8)+(M6*0.9)+(N6*1)+(O6*1.1)+(P6*1.2)+Q6)*F6)*E6)</f>
        <v>0</v>
      </c>
      <c r="S6" s="162">
        <f>(((G6*0.3)+(H6*0.4)+(I6*0.5)+(J6*0.6)+(K6*0.7)+(L6*0.8)+(M6*0.9)+(N6*1)+(O6*1.1)+(P6*1.2))*V6)</f>
        <v>0</v>
      </c>
      <c r="T6" s="162" t="s">
        <v>134</v>
      </c>
      <c r="U6" s="162">
        <v>0.4</v>
      </c>
      <c r="V6" s="162">
        <v>1</v>
      </c>
      <c r="W6" s="163">
        <f>(R6*D6)+(S6*U6)</f>
        <v>0</v>
      </c>
    </row>
    <row r="7" spans="2:23" x14ac:dyDescent="0.2">
      <c r="B7" s="159">
        <v>400</v>
      </c>
      <c r="C7" s="155" t="s">
        <v>135</v>
      </c>
      <c r="D7" s="155">
        <v>1.34</v>
      </c>
      <c r="E7" s="155">
        <v>1</v>
      </c>
      <c r="F7" s="155">
        <v>4</v>
      </c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1">
        <f t="shared" ref="R7:R18" si="0">((((G7*0.3)+(H7*0.4)+(I7*0.5)+(J7*0.6)+(K7*0.7)+(L7*0.8)+(M7*0.9)+(N7*1)+(O7*1.1)+(P7*1.2)+Q7)*F7)*E7)</f>
        <v>0</v>
      </c>
      <c r="S7" s="162">
        <f t="shared" ref="S7:S18" si="1">(((G7*0.3)+(H7*0.4)+(I7*0.5)+(J7*0.6)+(K7*0.7)+(L7*0.8)+(M7*0.9)+(N7*1)+(O7*1.1)+(P7*1.2))*V7)</f>
        <v>0</v>
      </c>
      <c r="T7" s="162" t="s">
        <v>133</v>
      </c>
      <c r="U7" s="162">
        <v>0.89</v>
      </c>
      <c r="V7" s="162">
        <v>1</v>
      </c>
      <c r="W7" s="163">
        <f t="shared" ref="W7:W18" si="2">(R7*D7)+(S7*U7)</f>
        <v>0</v>
      </c>
    </row>
    <row r="8" spans="2:23" x14ac:dyDescent="0.2">
      <c r="B8" s="159">
        <v>630</v>
      </c>
      <c r="C8" s="155" t="s">
        <v>136</v>
      </c>
      <c r="D8" s="155">
        <v>2.7</v>
      </c>
      <c r="E8" s="155">
        <v>1</v>
      </c>
      <c r="F8" s="155">
        <v>4</v>
      </c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1">
        <f t="shared" si="0"/>
        <v>0</v>
      </c>
      <c r="S8" s="162">
        <f t="shared" si="1"/>
        <v>0</v>
      </c>
      <c r="T8" s="162" t="s">
        <v>135</v>
      </c>
      <c r="U8" s="162">
        <v>1.34</v>
      </c>
      <c r="V8" s="162">
        <v>1</v>
      </c>
      <c r="W8" s="163">
        <f t="shared" si="2"/>
        <v>0</v>
      </c>
    </row>
    <row r="9" spans="2:23" x14ac:dyDescent="0.2">
      <c r="B9" s="159">
        <v>800</v>
      </c>
      <c r="C9" s="155" t="s">
        <v>137</v>
      </c>
      <c r="D9" s="155">
        <v>4.45</v>
      </c>
      <c r="E9" s="155">
        <v>1</v>
      </c>
      <c r="F9" s="155">
        <v>4</v>
      </c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1">
        <f t="shared" si="0"/>
        <v>0</v>
      </c>
      <c r="S9" s="162">
        <f t="shared" si="1"/>
        <v>0</v>
      </c>
      <c r="T9" s="162" t="s">
        <v>138</v>
      </c>
      <c r="U9" s="162">
        <v>1.78</v>
      </c>
      <c r="V9" s="162">
        <v>1</v>
      </c>
      <c r="W9" s="163">
        <f t="shared" si="2"/>
        <v>0</v>
      </c>
    </row>
    <row r="10" spans="2:23" x14ac:dyDescent="0.2">
      <c r="B10" s="159">
        <v>1000</v>
      </c>
      <c r="C10" s="155" t="s">
        <v>139</v>
      </c>
      <c r="D10" s="155">
        <v>5.34</v>
      </c>
      <c r="E10" s="155">
        <v>1</v>
      </c>
      <c r="F10" s="155">
        <v>4</v>
      </c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1">
        <f t="shared" si="0"/>
        <v>0</v>
      </c>
      <c r="S10" s="162">
        <f t="shared" si="1"/>
        <v>0</v>
      </c>
      <c r="T10" s="162" t="s">
        <v>136</v>
      </c>
      <c r="U10" s="162">
        <v>2.7</v>
      </c>
      <c r="V10" s="162">
        <v>1</v>
      </c>
      <c r="W10" s="163">
        <f t="shared" si="2"/>
        <v>0</v>
      </c>
    </row>
    <row r="11" spans="2:23" x14ac:dyDescent="0.2">
      <c r="B11" s="159">
        <v>1250</v>
      </c>
      <c r="C11" s="155" t="s">
        <v>140</v>
      </c>
      <c r="D11" s="155">
        <v>7.12</v>
      </c>
      <c r="E11" s="155">
        <v>1</v>
      </c>
      <c r="F11" s="155">
        <v>4</v>
      </c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1">
        <f t="shared" si="0"/>
        <v>0</v>
      </c>
      <c r="S11" s="162">
        <f t="shared" si="1"/>
        <v>0</v>
      </c>
      <c r="T11" s="162" t="s">
        <v>141</v>
      </c>
      <c r="U11" s="162">
        <v>3.56</v>
      </c>
      <c r="V11" s="162">
        <v>1</v>
      </c>
      <c r="W11" s="163">
        <f t="shared" si="2"/>
        <v>0</v>
      </c>
    </row>
    <row r="12" spans="2:23" x14ac:dyDescent="0.2">
      <c r="B12" s="159">
        <v>1600</v>
      </c>
      <c r="C12" s="155" t="s">
        <v>142</v>
      </c>
      <c r="D12" s="155">
        <v>8.9</v>
      </c>
      <c r="E12" s="155">
        <v>1</v>
      </c>
      <c r="F12" s="155">
        <v>4</v>
      </c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1">
        <f t="shared" si="0"/>
        <v>0</v>
      </c>
      <c r="S12" s="162">
        <f t="shared" si="1"/>
        <v>0</v>
      </c>
      <c r="T12" s="162" t="s">
        <v>137</v>
      </c>
      <c r="U12" s="162">
        <v>4.45</v>
      </c>
      <c r="V12" s="162">
        <v>1</v>
      </c>
      <c r="W12" s="163">
        <f t="shared" si="2"/>
        <v>0</v>
      </c>
    </row>
    <row r="13" spans="2:23" x14ac:dyDescent="0.2">
      <c r="B13" s="159">
        <v>2000</v>
      </c>
      <c r="C13" s="155" t="s">
        <v>143</v>
      </c>
      <c r="D13" s="155">
        <v>10.68</v>
      </c>
      <c r="E13" s="155">
        <v>1</v>
      </c>
      <c r="F13" s="155">
        <v>4</v>
      </c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1">
        <f t="shared" si="0"/>
        <v>0</v>
      </c>
      <c r="S13" s="162">
        <f t="shared" si="1"/>
        <v>0</v>
      </c>
      <c r="T13" s="162" t="s">
        <v>139</v>
      </c>
      <c r="U13" s="162">
        <v>5.34</v>
      </c>
      <c r="V13" s="162">
        <v>1</v>
      </c>
      <c r="W13" s="163">
        <f t="shared" si="2"/>
        <v>0</v>
      </c>
    </row>
    <row r="14" spans="2:23" x14ac:dyDescent="0.2">
      <c r="B14" s="159">
        <v>2500</v>
      </c>
      <c r="C14" s="155" t="s">
        <v>142</v>
      </c>
      <c r="D14" s="155">
        <v>8.9</v>
      </c>
      <c r="E14" s="155">
        <v>2</v>
      </c>
      <c r="F14" s="155">
        <v>4</v>
      </c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1">
        <f t="shared" si="0"/>
        <v>0</v>
      </c>
      <c r="S14" s="162">
        <f t="shared" si="1"/>
        <v>0</v>
      </c>
      <c r="T14" s="162" t="s">
        <v>140</v>
      </c>
      <c r="U14" s="162">
        <v>7.12</v>
      </c>
      <c r="V14" s="162">
        <v>1</v>
      </c>
      <c r="W14" s="163">
        <f t="shared" si="2"/>
        <v>0</v>
      </c>
    </row>
    <row r="15" spans="2:23" x14ac:dyDescent="0.2">
      <c r="B15" s="159">
        <v>3200</v>
      </c>
      <c r="C15" s="155" t="s">
        <v>143</v>
      </c>
      <c r="D15" s="155">
        <v>10.68</v>
      </c>
      <c r="E15" s="155">
        <v>2</v>
      </c>
      <c r="F15" s="155">
        <v>4</v>
      </c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1">
        <f t="shared" si="0"/>
        <v>0</v>
      </c>
      <c r="S15" s="162">
        <f t="shared" si="1"/>
        <v>0</v>
      </c>
      <c r="T15" s="162" t="s">
        <v>142</v>
      </c>
      <c r="U15" s="162">
        <v>8.9</v>
      </c>
      <c r="V15" s="162">
        <v>1</v>
      </c>
      <c r="W15" s="163">
        <f t="shared" si="2"/>
        <v>0</v>
      </c>
    </row>
    <row r="16" spans="2:23" x14ac:dyDescent="0.2">
      <c r="B16" s="159">
        <v>4000</v>
      </c>
      <c r="C16" s="155" t="s">
        <v>143</v>
      </c>
      <c r="D16" s="155">
        <v>10.68</v>
      </c>
      <c r="E16" s="155">
        <v>3</v>
      </c>
      <c r="F16" s="155">
        <v>4</v>
      </c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1">
        <f t="shared" si="0"/>
        <v>0</v>
      </c>
      <c r="S16" s="162">
        <f t="shared" si="1"/>
        <v>0</v>
      </c>
      <c r="T16" s="162" t="s">
        <v>143</v>
      </c>
      <c r="U16" s="162">
        <v>10.68</v>
      </c>
      <c r="V16" s="162">
        <v>1</v>
      </c>
      <c r="W16" s="163">
        <f t="shared" si="2"/>
        <v>0</v>
      </c>
    </row>
    <row r="17" spans="2:23" x14ac:dyDescent="0.2">
      <c r="B17" s="159">
        <v>5000</v>
      </c>
      <c r="C17" s="155" t="s">
        <v>144</v>
      </c>
      <c r="D17" s="155">
        <v>14.24</v>
      </c>
      <c r="E17" s="155">
        <v>3</v>
      </c>
      <c r="F17" s="155">
        <v>4</v>
      </c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1">
        <f t="shared" si="0"/>
        <v>0</v>
      </c>
      <c r="S17" s="162">
        <f t="shared" si="1"/>
        <v>0</v>
      </c>
      <c r="T17" s="162" t="s">
        <v>144</v>
      </c>
      <c r="U17" s="162">
        <v>14.24</v>
      </c>
      <c r="V17" s="162">
        <v>1</v>
      </c>
      <c r="W17" s="163">
        <f t="shared" si="2"/>
        <v>0</v>
      </c>
    </row>
    <row r="18" spans="2:23" x14ac:dyDescent="0.2">
      <c r="B18" s="159">
        <v>6300</v>
      </c>
      <c r="C18" s="155" t="s">
        <v>144</v>
      </c>
      <c r="D18" s="155">
        <v>14.24</v>
      </c>
      <c r="E18" s="155">
        <v>4</v>
      </c>
      <c r="F18" s="155">
        <v>4</v>
      </c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1">
        <f t="shared" si="0"/>
        <v>0</v>
      </c>
      <c r="S18" s="162">
        <f t="shared" si="1"/>
        <v>0</v>
      </c>
      <c r="T18" s="162" t="s">
        <v>143</v>
      </c>
      <c r="U18" s="162">
        <v>10.68</v>
      </c>
      <c r="V18" s="162">
        <v>2</v>
      </c>
      <c r="W18" s="163">
        <f t="shared" si="2"/>
        <v>0</v>
      </c>
    </row>
    <row r="19" spans="2:23" ht="15.75" x14ac:dyDescent="0.2">
      <c r="B19" s="224" t="s">
        <v>145</v>
      </c>
      <c r="C19" s="225"/>
      <c r="D19" s="225"/>
      <c r="E19" s="225"/>
      <c r="F19" s="226"/>
      <c r="G19" s="230"/>
      <c r="H19" s="231"/>
      <c r="I19" s="231"/>
      <c r="J19" s="231"/>
      <c r="K19" s="231"/>
      <c r="L19" s="231"/>
      <c r="M19" s="231"/>
      <c r="N19" s="231"/>
      <c r="O19" s="231"/>
      <c r="P19" s="231"/>
      <c r="Q19" s="232"/>
      <c r="R19" s="236" t="s">
        <v>146</v>
      </c>
      <c r="S19" s="236"/>
      <c r="T19" s="236"/>
      <c r="U19" s="236"/>
      <c r="V19" s="237">
        <f>SUM(W6:W18)</f>
        <v>0</v>
      </c>
      <c r="W19" s="238"/>
    </row>
    <row r="20" spans="2:23" ht="13.5" thickBot="1" x14ac:dyDescent="0.25">
      <c r="B20" s="227"/>
      <c r="C20" s="228"/>
      <c r="D20" s="228"/>
      <c r="E20" s="228"/>
      <c r="F20" s="229"/>
      <c r="G20" s="233"/>
      <c r="H20" s="234"/>
      <c r="I20" s="234"/>
      <c r="J20" s="234"/>
      <c r="K20" s="234"/>
      <c r="L20" s="234"/>
      <c r="M20" s="234"/>
      <c r="N20" s="234"/>
      <c r="O20" s="234"/>
      <c r="P20" s="234"/>
      <c r="Q20" s="235"/>
      <c r="R20" s="239"/>
      <c r="S20" s="240"/>
      <c r="T20" s="240"/>
      <c r="U20" s="240"/>
      <c r="V20" s="240"/>
      <c r="W20" s="241"/>
    </row>
    <row r="21" spans="2:23" ht="38.25" x14ac:dyDescent="0.2">
      <c r="B21" s="154" t="s">
        <v>124</v>
      </c>
      <c r="C21" s="155" t="s">
        <v>125</v>
      </c>
      <c r="D21" s="155" t="s">
        <v>126</v>
      </c>
      <c r="E21" s="155" t="s">
        <v>127</v>
      </c>
      <c r="F21" s="155" t="s">
        <v>128</v>
      </c>
      <c r="G21" s="157" t="s">
        <v>147</v>
      </c>
      <c r="H21" s="157" t="s">
        <v>148</v>
      </c>
      <c r="I21" s="157" t="s">
        <v>149</v>
      </c>
      <c r="J21" s="157" t="s">
        <v>150</v>
      </c>
      <c r="K21" s="164" t="s">
        <v>132</v>
      </c>
      <c r="L21" s="187" t="s">
        <v>151</v>
      </c>
      <c r="M21" s="188"/>
      <c r="N21" s="188"/>
      <c r="O21" s="188"/>
      <c r="P21" s="188"/>
      <c r="Q21" s="188"/>
      <c r="R21" s="188"/>
      <c r="S21" s="188"/>
      <c r="T21" s="193">
        <f>((V19+J35)*L30)</f>
        <v>3.9396</v>
      </c>
      <c r="U21" s="193"/>
      <c r="V21" s="193"/>
      <c r="W21" s="194"/>
    </row>
    <row r="22" spans="2:23" x14ac:dyDescent="0.2">
      <c r="B22" s="159">
        <v>250</v>
      </c>
      <c r="C22" s="155" t="s">
        <v>133</v>
      </c>
      <c r="D22" s="155">
        <v>0.89</v>
      </c>
      <c r="E22" s="155">
        <v>1</v>
      </c>
      <c r="F22" s="155">
        <v>4</v>
      </c>
      <c r="G22" s="165"/>
      <c r="H22" s="165">
        <v>0.4</v>
      </c>
      <c r="I22" s="165">
        <v>0.3</v>
      </c>
      <c r="J22" s="166">
        <f>((G22*(F22*(H22+I22)))*E22)</f>
        <v>0</v>
      </c>
      <c r="K22" s="167">
        <f>J22*D22</f>
        <v>0</v>
      </c>
      <c r="L22" s="189"/>
      <c r="M22" s="190"/>
      <c r="N22" s="190"/>
      <c r="O22" s="190"/>
      <c r="P22" s="190"/>
      <c r="Q22" s="190"/>
      <c r="R22" s="190"/>
      <c r="S22" s="190"/>
      <c r="T22" s="195"/>
      <c r="U22" s="195"/>
      <c r="V22" s="195"/>
      <c r="W22" s="196"/>
    </row>
    <row r="23" spans="2:23" x14ac:dyDescent="0.2">
      <c r="B23" s="159">
        <v>400</v>
      </c>
      <c r="C23" s="155" t="s">
        <v>135</v>
      </c>
      <c r="D23" s="155">
        <v>1.34</v>
      </c>
      <c r="E23" s="155">
        <v>1</v>
      </c>
      <c r="F23" s="155">
        <v>4</v>
      </c>
      <c r="G23" s="165">
        <v>1</v>
      </c>
      <c r="H23" s="165">
        <v>0.4</v>
      </c>
      <c r="I23" s="165">
        <v>0.3</v>
      </c>
      <c r="J23" s="166">
        <f t="shared" ref="J23:J34" si="3">((G23*(F23*(H23+I23)))*E23)</f>
        <v>2.8</v>
      </c>
      <c r="K23" s="167">
        <f t="shared" ref="K23:K34" si="4">J23*D23</f>
        <v>3.7519999999999998</v>
      </c>
      <c r="L23" s="189"/>
      <c r="M23" s="190"/>
      <c r="N23" s="190"/>
      <c r="O23" s="190"/>
      <c r="P23" s="190"/>
      <c r="Q23" s="190"/>
      <c r="R23" s="190"/>
      <c r="S23" s="190"/>
      <c r="T23" s="195"/>
      <c r="U23" s="195"/>
      <c r="V23" s="195"/>
      <c r="W23" s="196"/>
    </row>
    <row r="24" spans="2:23" ht="13.5" thickBot="1" x14ac:dyDescent="0.25">
      <c r="B24" s="159">
        <v>630</v>
      </c>
      <c r="C24" s="155" t="s">
        <v>136</v>
      </c>
      <c r="D24" s="155">
        <v>2.7</v>
      </c>
      <c r="E24" s="155">
        <v>1</v>
      </c>
      <c r="F24" s="155">
        <v>4</v>
      </c>
      <c r="G24" s="165"/>
      <c r="H24" s="165">
        <v>0.4</v>
      </c>
      <c r="I24" s="165">
        <v>0.3</v>
      </c>
      <c r="J24" s="166">
        <f t="shared" si="3"/>
        <v>0</v>
      </c>
      <c r="K24" s="167">
        <f t="shared" si="4"/>
        <v>0</v>
      </c>
      <c r="L24" s="191"/>
      <c r="M24" s="192"/>
      <c r="N24" s="192"/>
      <c r="O24" s="192"/>
      <c r="P24" s="192"/>
      <c r="Q24" s="192"/>
      <c r="R24" s="192"/>
      <c r="S24" s="192"/>
      <c r="T24" s="197"/>
      <c r="U24" s="197"/>
      <c r="V24" s="197"/>
      <c r="W24" s="198"/>
    </row>
    <row r="25" spans="2:23" ht="12.75" customHeight="1" x14ac:dyDescent="0.2">
      <c r="B25" s="159">
        <v>800</v>
      </c>
      <c r="C25" s="155" t="s">
        <v>137</v>
      </c>
      <c r="D25" s="155">
        <v>4.45</v>
      </c>
      <c r="E25" s="155">
        <v>1</v>
      </c>
      <c r="F25" s="155">
        <v>4</v>
      </c>
      <c r="G25" s="165"/>
      <c r="H25" s="165">
        <v>0.5</v>
      </c>
      <c r="I25" s="165">
        <v>0.4</v>
      </c>
      <c r="J25" s="166">
        <f t="shared" si="3"/>
        <v>0</v>
      </c>
      <c r="K25" s="167">
        <f t="shared" si="4"/>
        <v>0</v>
      </c>
      <c r="L25" s="199" t="s">
        <v>152</v>
      </c>
      <c r="M25" s="200"/>
      <c r="N25" s="201"/>
    </row>
    <row r="26" spans="2:23" ht="12.75" customHeight="1" x14ac:dyDescent="0.2">
      <c r="B26" s="159">
        <v>1000</v>
      </c>
      <c r="C26" s="155" t="s">
        <v>137</v>
      </c>
      <c r="D26" s="155">
        <v>4.45</v>
      </c>
      <c r="E26" s="155">
        <v>1</v>
      </c>
      <c r="F26" s="155">
        <v>4</v>
      </c>
      <c r="G26" s="165"/>
      <c r="H26" s="165">
        <v>0.5</v>
      </c>
      <c r="I26" s="165">
        <v>0.4</v>
      </c>
      <c r="J26" s="166">
        <f t="shared" si="3"/>
        <v>0</v>
      </c>
      <c r="K26" s="167">
        <f t="shared" si="4"/>
        <v>0</v>
      </c>
      <c r="L26" s="202"/>
      <c r="M26" s="203"/>
      <c r="N26" s="204"/>
    </row>
    <row r="27" spans="2:23" ht="12.75" customHeight="1" x14ac:dyDescent="0.2">
      <c r="B27" s="159">
        <v>1250</v>
      </c>
      <c r="C27" s="155" t="s">
        <v>137</v>
      </c>
      <c r="D27" s="155">
        <v>4.45</v>
      </c>
      <c r="E27" s="155">
        <v>2</v>
      </c>
      <c r="F27" s="155">
        <v>4</v>
      </c>
      <c r="G27" s="165"/>
      <c r="H27" s="168">
        <v>0.5</v>
      </c>
      <c r="I27" s="168">
        <v>0.4</v>
      </c>
      <c r="J27" s="166">
        <f t="shared" si="3"/>
        <v>0</v>
      </c>
      <c r="K27" s="167">
        <f t="shared" si="4"/>
        <v>0</v>
      </c>
      <c r="L27" s="202"/>
      <c r="M27" s="203"/>
      <c r="N27" s="204"/>
    </row>
    <row r="28" spans="2:23" ht="12.75" customHeight="1" x14ac:dyDescent="0.2">
      <c r="B28" s="159">
        <v>1600</v>
      </c>
      <c r="C28" s="155" t="s">
        <v>137</v>
      </c>
      <c r="D28" s="155">
        <v>4.45</v>
      </c>
      <c r="E28" s="155">
        <v>2</v>
      </c>
      <c r="F28" s="155">
        <v>4</v>
      </c>
      <c r="G28" s="165"/>
      <c r="H28" s="168">
        <v>0.5</v>
      </c>
      <c r="I28" s="168">
        <v>0.4</v>
      </c>
      <c r="J28" s="166">
        <f t="shared" si="3"/>
        <v>0</v>
      </c>
      <c r="K28" s="167">
        <f t="shared" si="4"/>
        <v>0</v>
      </c>
      <c r="L28" s="202"/>
      <c r="M28" s="203"/>
      <c r="N28" s="204"/>
    </row>
    <row r="29" spans="2:23" ht="12.75" customHeight="1" x14ac:dyDescent="0.2">
      <c r="B29" s="159">
        <v>2000</v>
      </c>
      <c r="C29" s="155" t="s">
        <v>139</v>
      </c>
      <c r="D29" s="155">
        <v>5.34</v>
      </c>
      <c r="E29" s="155">
        <v>3</v>
      </c>
      <c r="F29" s="155">
        <v>4</v>
      </c>
      <c r="G29" s="165"/>
      <c r="H29" s="168">
        <v>0.6</v>
      </c>
      <c r="I29" s="168">
        <v>0.5</v>
      </c>
      <c r="J29" s="166">
        <f t="shared" si="3"/>
        <v>0</v>
      </c>
      <c r="K29" s="167">
        <f t="shared" si="4"/>
        <v>0</v>
      </c>
      <c r="L29" s="202"/>
      <c r="M29" s="203"/>
      <c r="N29" s="204"/>
    </row>
    <row r="30" spans="2:23" ht="12.75" customHeight="1" x14ac:dyDescent="0.2">
      <c r="B30" s="159">
        <v>2500</v>
      </c>
      <c r="C30" s="155" t="s">
        <v>139</v>
      </c>
      <c r="D30" s="155">
        <v>5.34</v>
      </c>
      <c r="E30" s="155">
        <v>3</v>
      </c>
      <c r="F30" s="155">
        <v>4</v>
      </c>
      <c r="G30" s="165"/>
      <c r="H30" s="168">
        <v>0.6</v>
      </c>
      <c r="I30" s="168">
        <v>0.5</v>
      </c>
      <c r="J30" s="166">
        <f t="shared" si="3"/>
        <v>0</v>
      </c>
      <c r="K30" s="167">
        <f t="shared" si="4"/>
        <v>0</v>
      </c>
      <c r="L30" s="202">
        <v>1.05</v>
      </c>
      <c r="M30" s="203"/>
      <c r="N30" s="204"/>
    </row>
    <row r="31" spans="2:23" ht="12.75" customHeight="1" x14ac:dyDescent="0.2">
      <c r="B31" s="159">
        <v>3200</v>
      </c>
      <c r="C31" s="155" t="s">
        <v>140</v>
      </c>
      <c r="D31" s="155">
        <v>7.12</v>
      </c>
      <c r="E31" s="155">
        <v>3</v>
      </c>
      <c r="F31" s="155">
        <v>4</v>
      </c>
      <c r="G31" s="165"/>
      <c r="H31" s="168">
        <v>0.6</v>
      </c>
      <c r="I31" s="168">
        <v>0.6</v>
      </c>
      <c r="J31" s="166">
        <f t="shared" si="3"/>
        <v>0</v>
      </c>
      <c r="K31" s="167">
        <f t="shared" si="4"/>
        <v>0</v>
      </c>
      <c r="L31" s="202"/>
      <c r="M31" s="203"/>
      <c r="N31" s="204"/>
    </row>
    <row r="32" spans="2:23" ht="12.75" customHeight="1" x14ac:dyDescent="0.2">
      <c r="B32" s="159">
        <v>4000</v>
      </c>
      <c r="C32" s="155" t="s">
        <v>140</v>
      </c>
      <c r="D32" s="155">
        <v>7.12</v>
      </c>
      <c r="E32" s="155">
        <v>4</v>
      </c>
      <c r="F32" s="155">
        <v>4</v>
      </c>
      <c r="G32" s="165"/>
      <c r="H32" s="168">
        <v>0.6</v>
      </c>
      <c r="I32" s="168">
        <v>0.6</v>
      </c>
      <c r="J32" s="166">
        <f t="shared" si="3"/>
        <v>0</v>
      </c>
      <c r="K32" s="167">
        <f t="shared" si="4"/>
        <v>0</v>
      </c>
      <c r="L32" s="202"/>
      <c r="M32" s="203"/>
      <c r="N32" s="204"/>
    </row>
    <row r="33" spans="2:14" ht="12.75" customHeight="1" x14ac:dyDescent="0.2">
      <c r="B33" s="159">
        <v>5000</v>
      </c>
      <c r="C33" s="155" t="s">
        <v>144</v>
      </c>
      <c r="D33" s="155">
        <v>14.24</v>
      </c>
      <c r="E33" s="155">
        <v>3</v>
      </c>
      <c r="F33" s="155">
        <v>4</v>
      </c>
      <c r="G33" s="165"/>
      <c r="H33" s="168">
        <v>0.8</v>
      </c>
      <c r="I33" s="168">
        <v>0.8</v>
      </c>
      <c r="J33" s="166">
        <f t="shared" si="3"/>
        <v>0</v>
      </c>
      <c r="K33" s="167">
        <f t="shared" si="4"/>
        <v>0</v>
      </c>
      <c r="L33" s="202"/>
      <c r="M33" s="203"/>
      <c r="N33" s="204"/>
    </row>
    <row r="34" spans="2:14" ht="12.75" customHeight="1" x14ac:dyDescent="0.2">
      <c r="B34" s="159">
        <v>6300</v>
      </c>
      <c r="C34" s="155" t="s">
        <v>144</v>
      </c>
      <c r="D34" s="155">
        <v>14.24</v>
      </c>
      <c r="E34" s="155">
        <v>4</v>
      </c>
      <c r="F34" s="155">
        <v>4</v>
      </c>
      <c r="G34" s="165"/>
      <c r="H34" s="168">
        <v>0.8</v>
      </c>
      <c r="I34" s="168">
        <v>0.8</v>
      </c>
      <c r="J34" s="166">
        <f t="shared" si="3"/>
        <v>0</v>
      </c>
      <c r="K34" s="167">
        <f t="shared" si="4"/>
        <v>0</v>
      </c>
      <c r="L34" s="202"/>
      <c r="M34" s="203"/>
      <c r="N34" s="204"/>
    </row>
    <row r="35" spans="2:14" ht="16.5" customHeight="1" thickBot="1" x14ac:dyDescent="0.3">
      <c r="B35" s="208" t="s">
        <v>153</v>
      </c>
      <c r="C35" s="209"/>
      <c r="D35" s="209"/>
      <c r="E35" s="209"/>
      <c r="F35" s="209"/>
      <c r="G35" s="209"/>
      <c r="H35" s="209"/>
      <c r="I35" s="210"/>
      <c r="J35" s="211">
        <f>SUM(K22:K34)</f>
        <v>3.7519999999999998</v>
      </c>
      <c r="K35" s="212"/>
      <c r="L35" s="205"/>
      <c r="M35" s="206"/>
      <c r="N35" s="207"/>
    </row>
  </sheetData>
  <mergeCells count="15">
    <mergeCell ref="B2:W3"/>
    <mergeCell ref="B4:F4"/>
    <mergeCell ref="G4:P4"/>
    <mergeCell ref="S4:V4"/>
    <mergeCell ref="B19:F20"/>
    <mergeCell ref="G19:Q20"/>
    <mergeCell ref="R19:U19"/>
    <mergeCell ref="V19:W19"/>
    <mergeCell ref="R20:W20"/>
    <mergeCell ref="L21:S24"/>
    <mergeCell ref="T21:W24"/>
    <mergeCell ref="L25:N29"/>
    <mergeCell ref="L30:N35"/>
    <mergeCell ref="B35:I35"/>
    <mergeCell ref="J35:K35"/>
  </mergeCells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21</vt:i4>
      </vt:variant>
    </vt:vector>
  </HeadingPairs>
  <TitlesOfParts>
    <vt:vector size="25" baseType="lpstr">
      <vt:lpstr>Notlar</vt:lpstr>
      <vt:lpstr>Sayfa3</vt:lpstr>
      <vt:lpstr>Sayfa1</vt:lpstr>
      <vt:lpstr>BARA HESABI</vt:lpstr>
      <vt:lpstr>Ads</vt:lpstr>
      <vt:lpstr>DiskO</vt:lpstr>
      <vt:lpstr>DkarO</vt:lpstr>
      <vt:lpstr>Eur</vt:lpstr>
      <vt:lpstr>Faiz</vt:lpstr>
      <vt:lpstr>Oamb</vt:lpstr>
      <vt:lpstr>Obara</vt:lpstr>
      <vt:lpstr>Oggid</vt:lpstr>
      <vt:lpstr>Oisci</vt:lpstr>
      <vt:lpstr>Onak</vt:lpstr>
      <vt:lpstr>Opano</vt:lpstr>
      <vt:lpstr>Opsac</vt:lpstr>
      <vt:lpstr>Osalt</vt:lpstr>
      <vt:lpstr>Osarf</vt:lpstr>
      <vt:lpstr>'BARA HESABI'!Print_Area</vt:lpstr>
      <vt:lpstr>Tpb</vt:lpstr>
      <vt:lpstr>Tpbr</vt:lpstr>
      <vt:lpstr>Usd</vt:lpstr>
      <vt:lpstr>Sayfa1!Yazdırma_Alanı</vt:lpstr>
      <vt:lpstr>Sayfa3!Yazdırma_Alanı</vt:lpstr>
      <vt:lpstr>Sayfa1!Yazdırma_Başlıkları</vt:lpstr>
    </vt:vector>
  </TitlesOfParts>
  <Company>TURBO A.Ş.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Redsan Elektronik</dc:creator>
  <cp:lastModifiedBy>onur memiş</cp:lastModifiedBy>
  <cp:lastPrinted>2019-07-24T16:16:37Z</cp:lastPrinted>
  <dcterms:created xsi:type="dcterms:W3CDTF">2010-07-10T14:51:19Z</dcterms:created>
  <dcterms:modified xsi:type="dcterms:W3CDTF">2026-06-20T12:35:08Z</dcterms:modified>
</cp:coreProperties>
</file>